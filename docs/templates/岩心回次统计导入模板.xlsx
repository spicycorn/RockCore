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svg" ContentType="image/svg+xml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wdp" ContentType="image/vnd.ms-photo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7"/>
  <workbookPr/>
  <xr:revisionPtr revIDLastSave="0" documentId="13_ncr:1_{00000000-0000-0000-0000-00000000000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数据录入" sheetId="1" r:id="rId1"/>
    <sheet name="计算成果" sheetId="2" r:id="rId2"/>
    <sheet name="填写说明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/>
  <c r="B2" i="2"/>
  <c r="C2" i="2"/>
  <c r="D2" i="2"/>
  <c r="E2" i="2"/>
  <c r="F2" i="2"/>
  <c r="G2" i="2"/>
  <c r="H2" i="2"/>
  <c r="I2" i="2"/>
  <c r="J2" i="2"/>
  <c r="A3" i="2"/>
  <c r="B3" i="2"/>
  <c r="C3" i="2"/>
  <c r="D3" i="2"/>
  <c r="E3" i="2"/>
  <c r="F3" i="2"/>
  <c r="G3" i="2"/>
  <c r="H3" i="2"/>
  <c r="I3" i="2"/>
  <c r="J3" i="2"/>
  <c r="A4" i="2"/>
  <c r="B4" i="2"/>
  <c r="C4" i="2"/>
  <c r="D4" i="2"/>
  <c r="E4" i="2"/>
  <c r="F4" i="2"/>
  <c r="G4" i="2"/>
  <c r="H4" i="2"/>
  <c r="I4" i="2"/>
  <c r="J4" i="2"/>
  <c r="A5" i="2"/>
  <c r="B5" i="2"/>
  <c r="C5" i="2"/>
  <c r="D5" i="2"/>
  <c r="E5" i="2"/>
  <c r="F5" i="2"/>
  <c r="G5" i="2"/>
  <c r="H5" i="2"/>
  <c r="I5" i="2"/>
  <c r="J5" i="2"/>
  <c r="A6" i="2"/>
  <c r="B6" i="2"/>
  <c r="C6" i="2"/>
  <c r="D6" i="2"/>
  <c r="E6" i="2"/>
  <c r="F6" i="2"/>
  <c r="G6" i="2"/>
  <c r="H6" i="2"/>
  <c r="I6" i="2"/>
  <c r="J6" i="2"/>
  <c r="A7" i="2"/>
  <c r="B7" i="2"/>
  <c r="C7" i="2"/>
  <c r="D7" i="2"/>
  <c r="E7" i="2"/>
  <c r="F7" i="2"/>
  <c r="G7" i="2"/>
  <c r="H7" i="2"/>
  <c r="I7" i="2"/>
  <c r="J7" i="2"/>
  <c r="A8" i="2"/>
  <c r="B8" i="2"/>
  <c r="C8" i="2"/>
  <c r="D8" i="2"/>
  <c r="E8" i="2"/>
  <c r="F8" i="2"/>
  <c r="G8" i="2"/>
  <c r="H8" i="2"/>
  <c r="I8" i="2"/>
  <c r="J8" i="2"/>
  <c r="A9" i="2"/>
  <c r="B9" i="2"/>
  <c r="C9" i="2"/>
  <c r="D9" i="2"/>
  <c r="E9" i="2"/>
  <c r="F9" i="2"/>
  <c r="G9" i="2"/>
  <c r="H9" i="2"/>
  <c r="I9" i="2"/>
  <c r="J9" i="2"/>
  <c r="A10" i="2"/>
  <c r="B10" i="2"/>
  <c r="C10" i="2"/>
  <c r="D10" i="2"/>
  <c r="E10" i="2"/>
  <c r="F10" i="2"/>
  <c r="G10" i="2"/>
  <c r="H10" i="2"/>
  <c r="I10" i="2"/>
  <c r="J10" i="2"/>
  <c r="A11" i="2"/>
  <c r="B11" i="2"/>
  <c r="C11" i="2"/>
  <c r="D11" i="2"/>
  <c r="E11" i="2"/>
  <c r="F11" i="2"/>
  <c r="G11" i="2"/>
  <c r="H11" i="2"/>
  <c r="I11" i="2"/>
  <c r="J11" i="2"/>
  <c r="A12" i="2"/>
  <c r="B12" i="2"/>
  <c r="C12" i="2"/>
  <c r="D12" i="2"/>
  <c r="E12" i="2"/>
  <c r="F12" i="2"/>
  <c r="G12" i="2"/>
  <c r="H12" i="2"/>
  <c r="I12" i="2"/>
  <c r="J12" i="2"/>
  <c r="A13" i="2"/>
  <c r="B13" i="2"/>
  <c r="C13" i="2"/>
  <c r="D13" i="2"/>
  <c r="E13" i="2"/>
  <c r="F13" i="2"/>
  <c r="G13" i="2"/>
  <c r="H13" i="2"/>
  <c r="I13" i="2"/>
  <c r="J13" i="2"/>
  <c r="A14" i="2"/>
  <c r="B14" i="2"/>
  <c r="C14" i="2"/>
  <c r="D14" i="2"/>
  <c r="E14" i="2"/>
  <c r="F14" i="2"/>
  <c r="G14" i="2"/>
  <c r="H14" i="2"/>
  <c r="I14" i="2"/>
  <c r="J14" i="2"/>
  <c r="A15" i="2"/>
  <c r="B15" i="2"/>
  <c r="C15" i="2"/>
  <c r="D15" i="2"/>
  <c r="E15" i="2"/>
  <c r="F15" i="2"/>
  <c r="G15" i="2"/>
  <c r="H15" i="2"/>
  <c r="I15" i="2"/>
  <c r="J15" i="2"/>
  <c r="A16" i="2"/>
  <c r="B16" i="2"/>
  <c r="C16" i="2"/>
  <c r="D16" i="2"/>
  <c r="E16" i="2"/>
  <c r="F16" i="2"/>
  <c r="G16" i="2"/>
  <c r="H16" i="2"/>
  <c r="I16" i="2"/>
  <c r="J16" i="2"/>
  <c r="A17" i="2"/>
  <c r="B17" i="2"/>
  <c r="C17" i="2"/>
  <c r="D17" i="2"/>
  <c r="E17" i="2"/>
  <c r="F17" i="2"/>
  <c r="G17" i="2"/>
  <c r="H17" i="2"/>
  <c r="I17" i="2"/>
  <c r="J17" i="2"/>
  <c r="A18" i="2"/>
  <c r="B18" i="2"/>
  <c r="C18" i="2"/>
  <c r="D18" i="2"/>
  <c r="E18" i="2"/>
  <c r="F18" i="2"/>
  <c r="G18" i="2"/>
  <c r="H18" i="2"/>
  <c r="I18" i="2"/>
  <c r="J18" i="2"/>
  <c r="A19" i="2"/>
  <c r="B19" i="2"/>
  <c r="C19" i="2"/>
  <c r="D19" i="2"/>
  <c r="E19" i="2"/>
  <c r="F19" i="2"/>
  <c r="G19" i="2"/>
  <c r="H19" i="2"/>
  <c r="I19" i="2"/>
  <c r="J19" i="2"/>
  <c r="A20" i="2"/>
  <c r="B20" i="2"/>
  <c r="C20" i="2"/>
  <c r="D20" i="2"/>
  <c r="E20" i="2"/>
  <c r="F20" i="2"/>
  <c r="G20" i="2"/>
  <c r="H20" i="2"/>
  <c r="I20" i="2"/>
  <c r="J20" i="2"/>
  <c r="A21" i="2"/>
  <c r="B21" i="2"/>
  <c r="C21" i="2"/>
  <c r="D21" i="2"/>
  <c r="E21" i="2"/>
  <c r="F21" i="2"/>
  <c r="G21" i="2"/>
  <c r="H21" i="2"/>
  <c r="I21" i="2"/>
  <c r="J21" i="2"/>
  <c r="A22" i="2"/>
  <c r="B22" i="2"/>
  <c r="C22" i="2"/>
  <c r="D22" i="2"/>
  <c r="E22" i="2"/>
  <c r="F22" i="2"/>
  <c r="G22" i="2"/>
  <c r="H22" i="2"/>
  <c r="I22" i="2"/>
  <c r="J22" i="2"/>
  <c r="A23" i="2"/>
  <c r="B23" i="2"/>
  <c r="C23" i="2"/>
  <c r="D23" i="2"/>
  <c r="E23" i="2"/>
  <c r="F23" i="2"/>
  <c r="G23" i="2"/>
  <c r="H23" i="2"/>
  <c r="I23" i="2"/>
  <c r="J23" i="2"/>
  <c r="A24" i="2"/>
  <c r="B24" i="2"/>
  <c r="C24" i="2"/>
  <c r="D24" i="2"/>
  <c r="E24" i="2"/>
  <c r="F24" i="2"/>
  <c r="G24" i="2"/>
  <c r="H24" i="2"/>
  <c r="I24" i="2"/>
  <c r="J24" i="2"/>
  <c r="A25" i="2"/>
  <c r="B25" i="2"/>
  <c r="C25" i="2"/>
  <c r="D25" i="2"/>
  <c r="E25" i="2"/>
  <c r="F25" i="2"/>
  <c r="G25" i="2"/>
  <c r="H25" i="2"/>
  <c r="I25" i="2"/>
  <c r="J25" i="2"/>
  <c r="A26" i="2"/>
  <c r="B26" i="2"/>
  <c r="C26" i="2"/>
  <c r="D26" i="2"/>
  <c r="E26" i="2"/>
  <c r="F26" i="2"/>
  <c r="G26" i="2"/>
  <c r="H26" i="2"/>
  <c r="I26" i="2"/>
  <c r="J26" i="2"/>
  <c r="A27" i="2"/>
  <c r="B27" i="2"/>
  <c r="C27" i="2"/>
  <c r="D27" i="2"/>
  <c r="E27" i="2"/>
  <c r="F27" i="2"/>
  <c r="G27" i="2"/>
  <c r="H27" i="2"/>
  <c r="I27" i="2"/>
  <c r="J27" i="2"/>
  <c r="A28" i="2"/>
  <c r="B28" i="2"/>
  <c r="C28" i="2"/>
  <c r="D28" i="2"/>
  <c r="E28" i="2"/>
  <c r="F28" i="2"/>
  <c r="G28" i="2"/>
  <c r="H28" i="2"/>
  <c r="I28" i="2"/>
  <c r="J28" i="2"/>
  <c r="A29" i="2"/>
  <c r="B29" i="2"/>
  <c r="C29" i="2"/>
  <c r="D29" i="2"/>
  <c r="E29" i="2"/>
  <c r="F29" i="2"/>
  <c r="G29" i="2"/>
  <c r="H29" i="2"/>
  <c r="I29" i="2"/>
  <c r="J29" i="2"/>
  <c r="A30" i="2"/>
  <c r="B30" i="2"/>
  <c r="C30" i="2"/>
  <c r="D30" i="2"/>
  <c r="E30" i="2"/>
  <c r="F30" i="2"/>
  <c r="G30" i="2"/>
  <c r="H30" i="2"/>
  <c r="I30" i="2"/>
  <c r="J30" i="2"/>
  <c r="A31" i="2"/>
  <c r="B31" i="2"/>
  <c r="C31" i="2"/>
  <c r="D31" i="2"/>
  <c r="E31" i="2"/>
  <c r="F31" i="2"/>
  <c r="G31" i="2"/>
  <c r="H31" i="2"/>
  <c r="I31" i="2"/>
  <c r="J31" i="2"/>
  <c r="A32" i="2"/>
  <c r="B32" i="2"/>
  <c r="C32" i="2"/>
  <c r="D32" i="2"/>
  <c r="E32" i="2"/>
  <c r="F32" i="2"/>
  <c r="G32" i="2"/>
  <c r="H32" i="2"/>
  <c r="I32" i="2"/>
  <c r="J32" i="2"/>
  <c r="A33" i="2"/>
  <c r="B33" i="2"/>
  <c r="C33" i="2"/>
  <c r="D33" i="2"/>
  <c r="E33" i="2"/>
  <c r="F33" i="2"/>
  <c r="G33" i="2"/>
  <c r="H33" i="2"/>
  <c r="I33" i="2"/>
  <c r="J33" i="2"/>
  <c r="A34" i="2"/>
  <c r="B34" i="2"/>
  <c r="C34" i="2"/>
  <c r="D34" i="2"/>
  <c r="E34" i="2"/>
  <c r="F34" i="2"/>
  <c r="G34" i="2"/>
  <c r="H34" i="2"/>
  <c r="I34" i="2"/>
  <c r="J34" i="2"/>
  <c r="A35" i="2"/>
  <c r="B35" i="2"/>
  <c r="C35" i="2"/>
  <c r="D35" i="2"/>
  <c r="E35" i="2"/>
  <c r="F35" i="2"/>
  <c r="G35" i="2"/>
  <c r="H35" i="2"/>
  <c r="I35" i="2"/>
  <c r="J35" i="2"/>
  <c r="A36" i="2"/>
  <c r="B36" i="2"/>
  <c r="C36" i="2"/>
  <c r="D36" i="2"/>
  <c r="E36" i="2"/>
  <c r="F36" i="2"/>
  <c r="G36" i="2"/>
  <c r="H36" i="2"/>
  <c r="I36" i="2"/>
  <c r="J36" i="2"/>
  <c r="A37" i="2"/>
  <c r="B37" i="2"/>
  <c r="C37" i="2"/>
  <c r="D37" i="2"/>
  <c r="E37" i="2"/>
  <c r="F37" i="2"/>
  <c r="G37" i="2"/>
  <c r="H37" i="2"/>
  <c r="I37" i="2"/>
  <c r="J37" i="2"/>
  <c r="A38" i="2"/>
  <c r="B38" i="2"/>
  <c r="C38" i="2"/>
  <c r="D38" i="2"/>
  <c r="E38" i="2"/>
  <c r="F38" i="2"/>
  <c r="G38" i="2"/>
  <c r="H38" i="2"/>
  <c r="I38" i="2"/>
  <c r="J38" i="2"/>
  <c r="A39" i="2"/>
  <c r="B39" i="2"/>
  <c r="C39" i="2"/>
  <c r="D39" i="2"/>
  <c r="E39" i="2"/>
  <c r="F39" i="2"/>
  <c r="G39" i="2"/>
  <c r="H39" i="2"/>
  <c r="I39" i="2"/>
  <c r="J39" i="2"/>
  <c r="A40" i="2"/>
  <c r="B40" i="2"/>
  <c r="C40" i="2"/>
  <c r="D40" i="2"/>
  <c r="E40" i="2"/>
  <c r="F40" i="2"/>
  <c r="G40" i="2"/>
  <c r="H40" i="2"/>
  <c r="I40" i="2"/>
  <c r="J40" i="2"/>
  <c r="A41" i="2"/>
  <c r="B41" i="2"/>
  <c r="C41" i="2"/>
  <c r="D41" i="2"/>
  <c r="E41" i="2"/>
  <c r="F41" i="2"/>
  <c r="G41" i="2"/>
  <c r="H41" i="2"/>
  <c r="I41" i="2"/>
  <c r="J41" i="2"/>
  <c r="A42" i="2"/>
  <c r="B42" i="2"/>
  <c r="C42" i="2"/>
  <c r="D42" i="2"/>
  <c r="E42" i="2"/>
  <c r="F42" i="2"/>
  <c r="G42" i="2"/>
  <c r="H42" i="2"/>
  <c r="I42" i="2"/>
  <c r="J42" i="2"/>
  <c r="A43" i="2"/>
  <c r="B43" i="2"/>
  <c r="C43" i="2"/>
  <c r="D43" i="2"/>
  <c r="E43" i="2"/>
  <c r="F43" i="2"/>
  <c r="G43" i="2"/>
  <c r="H43" i="2"/>
  <c r="I43" i="2"/>
  <c r="J43" i="2"/>
  <c r="A44" i="2"/>
  <c r="B44" i="2"/>
  <c r="C44" i="2"/>
  <c r="D44" i="2"/>
  <c r="E44" i="2"/>
  <c r="F44" i="2"/>
  <c r="G44" i="2"/>
  <c r="H44" i="2"/>
  <c r="I44" i="2"/>
  <c r="J44" i="2"/>
  <c r="A45" i="2"/>
  <c r="B45" i="2"/>
  <c r="C45" i="2"/>
  <c r="D45" i="2"/>
  <c r="E45" i="2"/>
  <c r="F45" i="2"/>
  <c r="G45" i="2"/>
  <c r="H45" i="2"/>
  <c r="I45" i="2"/>
  <c r="J45" i="2"/>
  <c r="A46" i="2"/>
  <c r="B46" i="2"/>
  <c r="C46" i="2"/>
  <c r="D46" i="2"/>
  <c r="E46" i="2"/>
  <c r="F46" i="2"/>
  <c r="G46" i="2"/>
  <c r="H46" i="2"/>
  <c r="I46" i="2"/>
  <c r="J46" i="2"/>
  <c r="A47" i="2"/>
  <c r="B47" i="2"/>
  <c r="C47" i="2"/>
  <c r="D47" i="2"/>
  <c r="E47" i="2"/>
  <c r="F47" i="2"/>
  <c r="G47" i="2"/>
  <c r="H47" i="2"/>
  <c r="I47" i="2"/>
  <c r="J47" i="2"/>
  <c r="A48" i="2"/>
  <c r="B48" i="2"/>
  <c r="C48" i="2"/>
  <c r="D48" i="2"/>
  <c r="E48" i="2"/>
  <c r="F48" i="2"/>
  <c r="G48" i="2"/>
  <c r="H48" i="2"/>
  <c r="I48" i="2"/>
  <c r="J48" i="2"/>
  <c r="A49" i="2"/>
  <c r="B49" i="2"/>
  <c r="C49" i="2"/>
  <c r="D49" i="2"/>
  <c r="E49" i="2"/>
  <c r="F49" i="2"/>
  <c r="G49" i="2"/>
  <c r="H49" i="2"/>
  <c r="I49" i="2"/>
  <c r="J49" i="2"/>
  <c r="A50" i="2"/>
  <c r="B50" i="2"/>
  <c r="C50" i="2"/>
  <c r="D50" i="2"/>
  <c r="E50" i="2"/>
  <c r="F50" i="2"/>
  <c r="G50" i="2"/>
  <c r="H50" i="2"/>
  <c r="I50" i="2"/>
  <c r="J50" i="2"/>
  <c r="A51" i="2"/>
  <c r="B51" i="2"/>
  <c r="C51" i="2"/>
  <c r="D51" i="2"/>
  <c r="E51" i="2"/>
  <c r="F51" i="2"/>
  <c r="G51" i="2"/>
  <c r="H51" i="2"/>
  <c r="I51" i="2"/>
  <c r="J51" i="2"/>
  <c r="A52" i="2"/>
  <c r="B52" i="2"/>
  <c r="C52" i="2"/>
  <c r="D52" i="2"/>
  <c r="E52" i="2"/>
  <c r="F52" i="2"/>
  <c r="G52" i="2"/>
  <c r="H52" i="2"/>
  <c r="I52" i="2"/>
  <c r="J52" i="2"/>
  <c r="A53" i="2"/>
  <c r="B53" i="2"/>
  <c r="C53" i="2"/>
  <c r="D53" i="2"/>
  <c r="E53" i="2"/>
  <c r="F53" i="2"/>
  <c r="G53" i="2"/>
  <c r="H53" i="2"/>
  <c r="I53" i="2"/>
  <c r="J53" i="2"/>
  <c r="A54" i="2"/>
  <c r="B54" i="2"/>
  <c r="C54" i="2"/>
  <c r="D54" i="2"/>
  <c r="E54" i="2"/>
  <c r="F54" i="2"/>
  <c r="G54" i="2"/>
  <c r="H54" i="2"/>
  <c r="I54" i="2"/>
  <c r="J54" i="2"/>
  <c r="A55" i="2"/>
  <c r="B55" i="2"/>
  <c r="C55" i="2"/>
  <c r="D55" i="2"/>
  <c r="E55" i="2"/>
  <c r="F55" i="2"/>
  <c r="G55" i="2"/>
  <c r="H55" i="2"/>
  <c r="I55" i="2"/>
  <c r="J55" i="2"/>
  <c r="A56" i="2"/>
  <c r="B56" i="2"/>
  <c r="C56" i="2"/>
  <c r="D56" i="2"/>
  <c r="E56" i="2"/>
  <c r="F56" i="2"/>
  <c r="G56" i="2"/>
  <c r="H56" i="2"/>
  <c r="I56" i="2"/>
  <c r="J56" i="2"/>
  <c r="A57" i="2"/>
  <c r="B57" i="2"/>
  <c r="C57" i="2"/>
  <c r="D57" i="2"/>
  <c r="E57" i="2"/>
  <c r="F57" i="2"/>
  <c r="G57" i="2"/>
  <c r="H57" i="2"/>
  <c r="I57" i="2"/>
  <c r="J57" i="2"/>
  <c r="A58" i="2"/>
  <c r="B58" i="2"/>
  <c r="C58" i="2"/>
  <c r="D58" i="2"/>
  <c r="E58" i="2"/>
  <c r="F58" i="2"/>
  <c r="G58" i="2"/>
  <c r="H58" i="2"/>
  <c r="I58" i="2"/>
  <c r="J58" i="2"/>
  <c r="A59" i="2"/>
  <c r="B59" i="2"/>
  <c r="C59" i="2"/>
  <c r="D59" i="2"/>
  <c r="E59" i="2"/>
  <c r="F59" i="2"/>
  <c r="G59" i="2"/>
  <c r="H59" i="2"/>
  <c r="I59" i="2"/>
  <c r="J59" i="2"/>
  <c r="A60" i="2"/>
  <c r="B60" i="2"/>
  <c r="C60" i="2"/>
  <c r="D60" i="2"/>
  <c r="E60" i="2"/>
  <c r="F60" i="2"/>
  <c r="G60" i="2"/>
  <c r="H60" i="2"/>
  <c r="I60" i="2"/>
  <c r="J60" i="2"/>
  <c r="A61" i="2"/>
  <c r="B61" i="2"/>
  <c r="C61" i="2"/>
  <c r="D61" i="2"/>
  <c r="E61" i="2"/>
  <c r="F61" i="2"/>
  <c r="G61" i="2"/>
  <c r="H61" i="2"/>
  <c r="I61" i="2"/>
  <c r="J61" i="2"/>
  <c r="A62" i="2"/>
  <c r="B62" i="2"/>
  <c r="C62" i="2"/>
  <c r="D62" i="2"/>
  <c r="E62" i="2"/>
  <c r="F62" i="2"/>
  <c r="G62" i="2"/>
  <c r="H62" i="2"/>
  <c r="I62" i="2"/>
  <c r="J62" i="2"/>
  <c r="A63" i="2"/>
  <c r="B63" i="2"/>
  <c r="C63" i="2"/>
  <c r="D63" i="2"/>
  <c r="E63" i="2"/>
  <c r="F63" i="2"/>
  <c r="G63" i="2"/>
  <c r="H63" i="2"/>
  <c r="I63" i="2"/>
  <c r="J63" i="2"/>
  <c r="A64" i="2"/>
  <c r="B64" i="2"/>
  <c r="C64" i="2"/>
  <c r="D64" i="2"/>
  <c r="E64" i="2"/>
  <c r="F64" i="2"/>
  <c r="G64" i="2"/>
  <c r="H64" i="2"/>
  <c r="I64" i="2"/>
  <c r="J64" i="2"/>
  <c r="A65" i="2"/>
  <c r="B65" i="2"/>
  <c r="C65" i="2"/>
  <c r="D65" i="2"/>
  <c r="E65" i="2"/>
  <c r="F65" i="2"/>
  <c r="G65" i="2"/>
  <c r="H65" i="2"/>
  <c r="I65" i="2"/>
  <c r="J65" i="2"/>
  <c r="A66" i="2"/>
  <c r="B66" i="2"/>
  <c r="C66" i="2"/>
  <c r="D66" i="2"/>
  <c r="E66" i="2"/>
  <c r="F66" i="2"/>
  <c r="G66" i="2"/>
  <c r="H66" i="2"/>
  <c r="I66" i="2"/>
  <c r="J66" i="2"/>
  <c r="A67" i="2"/>
  <c r="B67" i="2"/>
  <c r="C67" i="2"/>
  <c r="D67" i="2"/>
  <c r="E67" i="2"/>
  <c r="F67" i="2"/>
  <c r="G67" i="2"/>
  <c r="H67" i="2"/>
  <c r="I67" i="2"/>
  <c r="J67" i="2"/>
  <c r="A68" i="2"/>
  <c r="B68" i="2"/>
  <c r="C68" i="2"/>
  <c r="D68" i="2"/>
  <c r="E68" i="2"/>
  <c r="F68" i="2"/>
  <c r="G68" i="2"/>
  <c r="H68" i="2"/>
  <c r="I68" i="2"/>
  <c r="J68" i="2"/>
  <c r="A69" i="2"/>
  <c r="B69" i="2"/>
  <c r="C69" i="2"/>
  <c r="D69" i="2"/>
  <c r="E69" i="2"/>
  <c r="F69" i="2"/>
  <c r="G69" i="2"/>
  <c r="H69" i="2"/>
  <c r="I69" i="2"/>
  <c r="J69" i="2"/>
  <c r="A70" i="2"/>
  <c r="B70" i="2"/>
  <c r="C70" i="2"/>
  <c r="D70" i="2"/>
  <c r="E70" i="2"/>
  <c r="F70" i="2"/>
  <c r="G70" i="2"/>
  <c r="H70" i="2"/>
  <c r="I70" i="2"/>
  <c r="J70" i="2"/>
  <c r="A71" i="2"/>
  <c r="B71" i="2"/>
  <c r="C71" i="2"/>
  <c r="D71" i="2"/>
  <c r="E71" i="2"/>
  <c r="F71" i="2"/>
  <c r="G71" i="2"/>
  <c r="H71" i="2"/>
  <c r="I71" i="2"/>
  <c r="J71" i="2"/>
  <c r="A72" i="2"/>
  <c r="B72" i="2"/>
  <c r="C72" i="2"/>
  <c r="D72" i="2"/>
  <c r="E72" i="2"/>
  <c r="F72" i="2"/>
  <c r="G72" i="2"/>
  <c r="H72" i="2"/>
  <c r="I72" i="2"/>
  <c r="J72" i="2"/>
  <c r="A73" i="2"/>
  <c r="B73" i="2"/>
  <c r="C73" i="2"/>
  <c r="D73" i="2"/>
  <c r="E73" i="2"/>
  <c r="F73" i="2"/>
  <c r="G73" i="2"/>
  <c r="H73" i="2"/>
  <c r="I73" i="2"/>
  <c r="J73" i="2"/>
  <c r="A74" i="2"/>
  <c r="B74" i="2"/>
  <c r="C74" i="2"/>
  <c r="D74" i="2"/>
  <c r="E74" i="2"/>
  <c r="F74" i="2"/>
  <c r="G74" i="2"/>
  <c r="H74" i="2"/>
  <c r="I74" i="2"/>
  <c r="J74" i="2"/>
  <c r="A75" i="2"/>
  <c r="B75" i="2"/>
  <c r="C75" i="2"/>
  <c r="D75" i="2"/>
  <c r="E75" i="2"/>
  <c r="F75" i="2"/>
  <c r="G75" i="2"/>
  <c r="H75" i="2"/>
  <c r="I75" i="2"/>
  <c r="J75" i="2"/>
  <c r="A76" i="2"/>
  <c r="B76" i="2"/>
  <c r="C76" i="2"/>
  <c r="D76" i="2"/>
  <c r="E76" i="2"/>
  <c r="F76" i="2"/>
  <c r="G76" i="2"/>
  <c r="H76" i="2"/>
  <c r="I76" i="2"/>
  <c r="J76" i="2"/>
  <c r="A77" i="2"/>
  <c r="B77" i="2"/>
  <c r="C77" i="2"/>
  <c r="D77" i="2"/>
  <c r="E77" i="2"/>
  <c r="F77" i="2"/>
  <c r="G77" i="2"/>
  <c r="H77" i="2"/>
  <c r="I77" i="2"/>
  <c r="J77" i="2"/>
  <c r="A78" i="2"/>
  <c r="B78" i="2"/>
  <c r="C78" i="2"/>
  <c r="D78" i="2"/>
  <c r="E78" i="2"/>
  <c r="F78" i="2"/>
  <c r="G78" i="2"/>
  <c r="H78" i="2"/>
  <c r="I78" i="2"/>
  <c r="J78" i="2"/>
  <c r="A79" i="2"/>
  <c r="B79" i="2"/>
  <c r="C79" i="2"/>
  <c r="D79" i="2"/>
  <c r="E79" i="2"/>
  <c r="F79" i="2"/>
  <c r="G79" i="2"/>
  <c r="H79" i="2"/>
  <c r="I79" i="2"/>
  <c r="J79" i="2"/>
  <c r="A80" i="2"/>
  <c r="B80" i="2"/>
  <c r="C80" i="2"/>
  <c r="D80" i="2"/>
  <c r="E80" i="2"/>
  <c r="F80" i="2"/>
  <c r="G80" i="2"/>
  <c r="H80" i="2"/>
  <c r="I80" i="2"/>
  <c r="J80" i="2"/>
  <c r="A81" i="2"/>
  <c r="B81" i="2"/>
  <c r="C81" i="2"/>
  <c r="D81" i="2"/>
  <c r="E81" i="2"/>
  <c r="F81" i="2"/>
  <c r="G81" i="2"/>
  <c r="H81" i="2"/>
  <c r="I81" i="2"/>
  <c r="J81" i="2"/>
  <c r="A82" i="2"/>
  <c r="B82" i="2"/>
  <c r="C82" i="2"/>
  <c r="D82" i="2"/>
  <c r="E82" i="2"/>
  <c r="F82" i="2"/>
  <c r="G82" i="2"/>
  <c r="H82" i="2"/>
  <c r="I82" i="2"/>
  <c r="J82" i="2"/>
  <c r="A83" i="2"/>
  <c r="B83" i="2"/>
  <c r="C83" i="2"/>
  <c r="D83" i="2"/>
  <c r="E83" i="2"/>
  <c r="F83" i="2"/>
  <c r="G83" i="2"/>
  <c r="H83" i="2"/>
  <c r="I83" i="2"/>
  <c r="J83" i="2"/>
  <c r="A84" i="2"/>
  <c r="B84" i="2"/>
  <c r="C84" i="2"/>
  <c r="D84" i="2"/>
  <c r="E84" i="2"/>
  <c r="F84" i="2"/>
  <c r="G84" i="2"/>
  <c r="H84" i="2"/>
  <c r="I84" i="2"/>
  <c r="J84" i="2"/>
  <c r="A85" i="2"/>
  <c r="B85" i="2"/>
  <c r="C85" i="2"/>
  <c r="D85" i="2"/>
  <c r="E85" i="2"/>
  <c r="F85" i="2"/>
  <c r="G85" i="2"/>
  <c r="H85" i="2"/>
  <c r="I85" i="2"/>
  <c r="J85" i="2"/>
  <c r="A86" i="2"/>
  <c r="B86" i="2"/>
  <c r="C86" i="2"/>
  <c r="D86" i="2"/>
  <c r="E86" i="2"/>
  <c r="F86" i="2"/>
  <c r="G86" i="2"/>
  <c r="H86" i="2"/>
  <c r="I86" i="2"/>
  <c r="J86" i="2"/>
  <c r="A87" i="2"/>
  <c r="B87" i="2"/>
  <c r="C87" i="2"/>
  <c r="D87" i="2"/>
  <c r="E87" i="2"/>
  <c r="F87" i="2"/>
  <c r="G87" i="2"/>
  <c r="H87" i="2"/>
  <c r="I87" i="2"/>
  <c r="J87" i="2"/>
  <c r="A88" i="2"/>
  <c r="B88" i="2"/>
  <c r="C88" i="2"/>
  <c r="D88" i="2"/>
  <c r="E88" i="2"/>
  <c r="F88" i="2"/>
  <c r="G88" i="2"/>
  <c r="H88" i="2"/>
  <c r="I88" i="2"/>
  <c r="J88" i="2"/>
  <c r="A89" i="2"/>
  <c r="B89" i="2"/>
  <c r="C89" i="2"/>
  <c r="D89" i="2"/>
  <c r="E89" i="2"/>
  <c r="F89" i="2"/>
  <c r="G89" i="2"/>
  <c r="H89" i="2"/>
  <c r="I89" i="2"/>
  <c r="J89" i="2"/>
  <c r="A90" i="2"/>
  <c r="B90" i="2"/>
  <c r="C90" i="2"/>
  <c r="D90" i="2"/>
  <c r="E90" i="2"/>
  <c r="F90" i="2"/>
  <c r="G90" i="2"/>
  <c r="H90" i="2"/>
  <c r="I90" i="2"/>
  <c r="J90" i="2"/>
  <c r="A91" i="2"/>
  <c r="B91" i="2"/>
  <c r="C91" i="2"/>
  <c r="D91" i="2"/>
  <c r="E91" i="2"/>
  <c r="F91" i="2"/>
  <c r="G91" i="2"/>
  <c r="H91" i="2"/>
  <c r="I91" i="2"/>
  <c r="J91" i="2"/>
  <c r="A92" i="2"/>
  <c r="B92" i="2"/>
  <c r="C92" i="2"/>
  <c r="D92" i="2"/>
  <c r="E92" i="2"/>
  <c r="F92" i="2"/>
  <c r="G92" i="2"/>
  <c r="H92" i="2"/>
  <c r="I92" i="2"/>
  <c r="J92" i="2"/>
  <c r="A93" i="2"/>
  <c r="B93" i="2"/>
  <c r="C93" i="2"/>
  <c r="D93" i="2"/>
  <c r="E93" i="2"/>
  <c r="F93" i="2"/>
  <c r="G93" i="2"/>
  <c r="H93" i="2"/>
  <c r="I93" i="2"/>
  <c r="J93" i="2"/>
  <c r="A94" i="2"/>
  <c r="B94" i="2"/>
  <c r="C94" i="2"/>
  <c r="D94" i="2"/>
  <c r="E94" i="2"/>
  <c r="F94" i="2"/>
  <c r="G94" i="2"/>
  <c r="H94" i="2"/>
  <c r="I94" i="2"/>
  <c r="J94" i="2"/>
  <c r="A95" i="2"/>
  <c r="B95" i="2"/>
  <c r="C95" i="2"/>
  <c r="D95" i="2"/>
  <c r="E95" i="2"/>
  <c r="F95" i="2"/>
  <c r="G95" i="2"/>
  <c r="H95" i="2"/>
  <c r="I95" i="2"/>
  <c r="J95" i="2"/>
  <c r="A96" i="2"/>
  <c r="B96" i="2"/>
  <c r="C96" i="2"/>
  <c r="D96" i="2"/>
  <c r="E96" i="2"/>
  <c r="F96" i="2"/>
  <c r="G96" i="2"/>
  <c r="H96" i="2"/>
  <c r="I96" i="2"/>
  <c r="J96" i="2"/>
  <c r="A97" i="2"/>
  <c r="B97" i="2"/>
  <c r="C97" i="2"/>
  <c r="D97" i="2"/>
  <c r="E97" i="2"/>
  <c r="F97" i="2"/>
  <c r="G97" i="2"/>
  <c r="H97" i="2"/>
  <c r="I97" i="2"/>
  <c r="J97" i="2"/>
  <c r="A98" i="2"/>
  <c r="B98" i="2"/>
  <c r="C98" i="2"/>
  <c r="D98" i="2"/>
  <c r="E98" i="2"/>
  <c r="F98" i="2"/>
  <c r="G98" i="2"/>
  <c r="H98" i="2"/>
  <c r="I98" i="2"/>
  <c r="J98" i="2"/>
  <c r="A99" i="2"/>
  <c r="B99" i="2"/>
  <c r="C99" i="2"/>
  <c r="D99" i="2"/>
  <c r="E99" i="2"/>
  <c r="F99" i="2"/>
  <c r="G99" i="2"/>
  <c r="H99" i="2"/>
  <c r="I99" i="2"/>
  <c r="J99" i="2"/>
  <c r="A100" i="2"/>
  <c r="B100" i="2"/>
  <c r="C100" i="2"/>
  <c r="D100" i="2"/>
  <c r="E100" i="2"/>
  <c r="F100" i="2"/>
  <c r="G100" i="2"/>
  <c r="H100" i="2"/>
  <c r="I100" i="2"/>
  <c r="J100" i="2"/>
  <c r="A101" i="2"/>
  <c r="B101" i="2"/>
  <c r="C101" i="2"/>
  <c r="D101" i="2"/>
  <c r="E101" i="2"/>
  <c r="F101" i="2"/>
  <c r="G101" i="2"/>
  <c r="H101" i="2"/>
  <c r="I101" i="2"/>
  <c r="J101" i="2"/>
  <c r="A102" i="2"/>
  <c r="B102" i="2"/>
  <c r="C102" i="2"/>
  <c r="D102" i="2"/>
  <c r="E102" i="2"/>
  <c r="F102" i="2"/>
  <c r="G102" i="2"/>
  <c r="H102" i="2"/>
  <c r="I102" i="2"/>
  <c r="J102" i="2"/>
  <c r="A103" i="2"/>
  <c r="B103" i="2"/>
  <c r="C103" i="2"/>
  <c r="D103" i="2"/>
  <c r="E103" i="2"/>
  <c r="F103" i="2"/>
  <c r="G103" i="2"/>
  <c r="H103" i="2"/>
  <c r="I103" i="2"/>
  <c r="J103" i="2"/>
  <c r="A104" i="2"/>
  <c r="B104" i="2"/>
  <c r="C104" i="2"/>
  <c r="D104" i="2"/>
  <c r="E104" i="2"/>
  <c r="F104" i="2"/>
  <c r="G104" i="2"/>
  <c r="H104" i="2"/>
  <c r="I104" i="2"/>
  <c r="J104" i="2"/>
  <c r="A105" i="2"/>
  <c r="B105" i="2"/>
  <c r="C105" i="2"/>
  <c r="D105" i="2"/>
  <c r="E105" i="2"/>
  <c r="F105" i="2"/>
  <c r="G105" i="2"/>
  <c r="H105" i="2"/>
  <c r="I105" i="2"/>
  <c r="J105" i="2"/>
  <c r="A106" i="2"/>
  <c r="B106" i="2"/>
  <c r="C106" i="2"/>
  <c r="D106" i="2"/>
  <c r="E106" i="2"/>
  <c r="F106" i="2"/>
  <c r="G106" i="2"/>
  <c r="H106" i="2"/>
  <c r="I106" i="2"/>
  <c r="J106" i="2"/>
  <c r="A107" i="2"/>
  <c r="B107" i="2"/>
  <c r="C107" i="2"/>
  <c r="D107" i="2"/>
  <c r="E107" i="2"/>
  <c r="F107" i="2"/>
  <c r="G107" i="2"/>
  <c r="H107" i="2"/>
  <c r="I107" i="2"/>
  <c r="J107" i="2"/>
  <c r="A108" i="2"/>
  <c r="B108" i="2"/>
  <c r="C108" i="2"/>
  <c r="D108" i="2"/>
  <c r="E108" i="2"/>
  <c r="F108" i="2"/>
  <c r="G108" i="2"/>
  <c r="H108" i="2"/>
  <c r="I108" i="2"/>
  <c r="J108" i="2"/>
  <c r="A109" i="2"/>
  <c r="B109" i="2"/>
  <c r="C109" i="2"/>
  <c r="D109" i="2"/>
  <c r="E109" i="2"/>
  <c r="F109" i="2"/>
  <c r="G109" i="2"/>
  <c r="H109" i="2"/>
  <c r="I109" i="2"/>
  <c r="J109" i="2"/>
  <c r="A110" i="2"/>
  <c r="B110" i="2"/>
  <c r="C110" i="2"/>
  <c r="D110" i="2"/>
  <c r="E110" i="2"/>
  <c r="F110" i="2"/>
  <c r="G110" i="2"/>
  <c r="H110" i="2"/>
  <c r="I110" i="2"/>
  <c r="J110" i="2"/>
  <c r="A111" i="2"/>
  <c r="B111" i="2"/>
  <c r="C111" i="2"/>
  <c r="D111" i="2"/>
  <c r="E111" i="2"/>
  <c r="F111" i="2"/>
  <c r="G111" i="2"/>
  <c r="H111" i="2"/>
  <c r="I111" i="2"/>
  <c r="J111" i="2"/>
  <c r="A112" i="2"/>
  <c r="B112" i="2"/>
  <c r="C112" i="2"/>
  <c r="D112" i="2"/>
  <c r="E112" i="2"/>
  <c r="F112" i="2"/>
  <c r="G112" i="2"/>
  <c r="H112" i="2"/>
  <c r="I112" i="2"/>
  <c r="J112" i="2"/>
  <c r="A113" i="2"/>
  <c r="B113" i="2"/>
  <c r="C113" i="2"/>
  <c r="D113" i="2"/>
  <c r="E113" i="2"/>
  <c r="F113" i="2"/>
  <c r="G113" i="2"/>
  <c r="H113" i="2"/>
  <c r="I113" i="2"/>
  <c r="J113" i="2"/>
  <c r="A114" i="2"/>
  <c r="B114" i="2"/>
  <c r="C114" i="2"/>
  <c r="D114" i="2"/>
  <c r="E114" i="2"/>
  <c r="F114" i="2"/>
  <c r="G114" i="2"/>
  <c r="H114" i="2"/>
  <c r="I114" i="2"/>
  <c r="J114" i="2"/>
  <c r="A115" i="2"/>
  <c r="B115" i="2"/>
  <c r="C115" i="2"/>
  <c r="D115" i="2"/>
  <c r="E115" i="2"/>
  <c r="F115" i="2"/>
  <c r="G115" i="2"/>
  <c r="H115" i="2"/>
  <c r="I115" i="2"/>
  <c r="J115" i="2"/>
  <c r="A116" i="2"/>
  <c r="B116" i="2"/>
  <c r="C116" i="2"/>
  <c r="D116" i="2"/>
  <c r="E116" i="2"/>
  <c r="F116" i="2"/>
  <c r="G116" i="2"/>
  <c r="H116" i="2"/>
  <c r="I116" i="2"/>
  <c r="J116" i="2"/>
  <c r="A117" i="2"/>
  <c r="B117" i="2"/>
  <c r="C117" i="2"/>
  <c r="D117" i="2"/>
  <c r="E117" i="2"/>
  <c r="F117" i="2"/>
  <c r="G117" i="2"/>
  <c r="H117" i="2"/>
  <c r="I117" i="2"/>
  <c r="J117" i="2"/>
  <c r="A118" i="2"/>
  <c r="B118" i="2"/>
  <c r="C118" i="2"/>
  <c r="D118" i="2"/>
  <c r="E118" i="2"/>
  <c r="F118" i="2"/>
  <c r="G118" i="2"/>
  <c r="H118" i="2"/>
  <c r="I118" i="2"/>
  <c r="J118" i="2"/>
  <c r="A119" i="2"/>
  <c r="B119" i="2"/>
  <c r="C119" i="2"/>
  <c r="D119" i="2"/>
  <c r="E119" i="2"/>
  <c r="F119" i="2"/>
  <c r="G119" i="2"/>
  <c r="H119" i="2"/>
  <c r="I119" i="2"/>
  <c r="J119" i="2"/>
  <c r="A120" i="2"/>
  <c r="B120" i="2"/>
  <c r="C120" i="2"/>
  <c r="D120" i="2"/>
  <c r="E120" i="2"/>
  <c r="F120" i="2"/>
  <c r="G120" i="2"/>
  <c r="H120" i="2"/>
  <c r="I120" i="2"/>
  <c r="J120" i="2"/>
  <c r="A121" i="2"/>
  <c r="B121" i="2"/>
  <c r="C121" i="2"/>
  <c r="D121" i="2"/>
  <c r="E121" i="2"/>
  <c r="F121" i="2"/>
  <c r="G121" i="2"/>
  <c r="H121" i="2"/>
  <c r="I121" i="2"/>
  <c r="J121" i="2"/>
  <c r="A122" i="2"/>
  <c r="B122" i="2"/>
  <c r="C122" i="2"/>
  <c r="D122" i="2"/>
  <c r="E122" i="2"/>
  <c r="F122" i="2"/>
  <c r="G122" i="2"/>
  <c r="H122" i="2"/>
  <c r="I122" i="2"/>
  <c r="J122" i="2"/>
  <c r="A123" i="2"/>
  <c r="B123" i="2"/>
  <c r="C123" i="2"/>
  <c r="D123" i="2"/>
  <c r="E123" i="2"/>
  <c r="F123" i="2"/>
  <c r="G123" i="2"/>
  <c r="H123" i="2"/>
  <c r="I123" i="2"/>
  <c r="J123" i="2"/>
  <c r="A124" i="2"/>
  <c r="B124" i="2"/>
  <c r="C124" i="2"/>
  <c r="D124" i="2"/>
  <c r="E124" i="2"/>
  <c r="F124" i="2"/>
  <c r="G124" i="2"/>
  <c r="H124" i="2"/>
  <c r="I124" i="2"/>
  <c r="J124" i="2"/>
  <c r="A125" i="2"/>
  <c r="B125" i="2"/>
  <c r="C125" i="2"/>
  <c r="D125" i="2"/>
  <c r="E125" i="2"/>
  <c r="F125" i="2"/>
  <c r="G125" i="2"/>
  <c r="H125" i="2"/>
  <c r="I125" i="2"/>
  <c r="J125" i="2"/>
  <c r="A126" i="2"/>
  <c r="B126" i="2"/>
  <c r="C126" i="2"/>
  <c r="D126" i="2"/>
  <c r="E126" i="2"/>
  <c r="F126" i="2"/>
  <c r="G126" i="2"/>
  <c r="H126" i="2"/>
  <c r="I126" i="2"/>
  <c r="J126" i="2"/>
  <c r="A127" i="2"/>
  <c r="B127" i="2"/>
  <c r="C127" i="2"/>
  <c r="D127" i="2"/>
  <c r="E127" i="2"/>
  <c r="F127" i="2"/>
  <c r="G127" i="2"/>
  <c r="H127" i="2"/>
  <c r="I127" i="2"/>
  <c r="J127" i="2"/>
  <c r="A128" i="2"/>
  <c r="B128" i="2"/>
  <c r="C128" i="2"/>
  <c r="D128" i="2"/>
  <c r="E128" i="2"/>
  <c r="F128" i="2"/>
  <c r="G128" i="2"/>
  <c r="H128" i="2"/>
  <c r="I128" i="2"/>
  <c r="J128" i="2"/>
  <c r="A129" i="2"/>
  <c r="B129" i="2"/>
  <c r="C129" i="2"/>
  <c r="D129" i="2"/>
  <c r="E129" i="2"/>
  <c r="F129" i="2"/>
  <c r="G129" i="2"/>
  <c r="H129" i="2"/>
  <c r="I129" i="2"/>
  <c r="J129" i="2"/>
  <c r="A130" i="2"/>
  <c r="B130" i="2"/>
  <c r="C130" i="2"/>
  <c r="D130" i="2"/>
  <c r="E130" i="2"/>
  <c r="F130" i="2"/>
  <c r="G130" i="2"/>
  <c r="H130" i="2"/>
  <c r="I130" i="2"/>
  <c r="J130" i="2"/>
  <c r="A131" i="2"/>
  <c r="B131" i="2"/>
  <c r="C131" i="2"/>
  <c r="D131" i="2"/>
  <c r="E131" i="2"/>
  <c r="F131" i="2"/>
  <c r="G131" i="2"/>
  <c r="H131" i="2"/>
  <c r="I131" i="2"/>
  <c r="J131" i="2"/>
  <c r="A132" i="2"/>
  <c r="B132" i="2"/>
  <c r="C132" i="2"/>
  <c r="D132" i="2"/>
  <c r="E132" i="2"/>
  <c r="F132" i="2"/>
  <c r="G132" i="2"/>
  <c r="H132" i="2"/>
  <c r="I132" i="2"/>
  <c r="J132" i="2"/>
  <c r="A133" i="2"/>
  <c r="B133" i="2"/>
  <c r="C133" i="2"/>
  <c r="D133" i="2"/>
  <c r="E133" i="2"/>
  <c r="F133" i="2"/>
  <c r="G133" i="2"/>
  <c r="H133" i="2"/>
  <c r="I133" i="2"/>
  <c r="J133" i="2"/>
  <c r="A134" i="2"/>
  <c r="B134" i="2"/>
  <c r="C134" i="2"/>
  <c r="D134" i="2"/>
  <c r="E134" i="2"/>
  <c r="F134" i="2"/>
  <c r="G134" i="2"/>
  <c r="H134" i="2"/>
  <c r="I134" i="2"/>
  <c r="J134" i="2"/>
  <c r="A135" i="2"/>
  <c r="B135" i="2"/>
  <c r="C135" i="2"/>
  <c r="D135" i="2"/>
  <c r="E135" i="2"/>
  <c r="F135" i="2"/>
  <c r="G135" i="2"/>
  <c r="H135" i="2"/>
  <c r="I135" i="2"/>
  <c r="J135" i="2"/>
  <c r="A136" i="2"/>
  <c r="B136" i="2"/>
  <c r="C136" i="2"/>
  <c r="D136" i="2"/>
  <c r="E136" i="2"/>
  <c r="F136" i="2"/>
  <c r="G136" i="2"/>
  <c r="H136" i="2"/>
  <c r="I136" i="2"/>
  <c r="J136" i="2"/>
  <c r="A137" i="2"/>
  <c r="B137" i="2"/>
  <c r="C137" i="2"/>
  <c r="D137" i="2"/>
  <c r="E137" i="2"/>
  <c r="F137" i="2"/>
  <c r="G137" i="2"/>
  <c r="H137" i="2"/>
  <c r="I137" i="2"/>
  <c r="J137" i="2"/>
  <c r="A138" i="2"/>
  <c r="B138" i="2"/>
  <c r="C138" i="2"/>
  <c r="D138" i="2"/>
  <c r="E138" i="2"/>
  <c r="F138" i="2"/>
  <c r="G138" i="2"/>
  <c r="H138" i="2"/>
  <c r="I138" i="2"/>
  <c r="J138" i="2"/>
  <c r="A139" i="2"/>
  <c r="B139" i="2"/>
  <c r="C139" i="2"/>
  <c r="D139" i="2"/>
  <c r="E139" i="2"/>
  <c r="F139" i="2"/>
  <c r="G139" i="2"/>
  <c r="H139" i="2"/>
  <c r="I139" i="2"/>
  <c r="J139" i="2"/>
  <c r="A140" i="2"/>
  <c r="B140" i="2"/>
  <c r="C140" i="2"/>
  <c r="D140" i="2"/>
  <c r="E140" i="2"/>
  <c r="F140" i="2"/>
  <c r="G140" i="2"/>
  <c r="H140" i="2"/>
  <c r="I140" i="2"/>
  <c r="J140" i="2"/>
  <c r="A141" i="2"/>
  <c r="B141" i="2"/>
  <c r="C141" i="2"/>
  <c r="D141" i="2"/>
  <c r="E141" i="2"/>
  <c r="F141" i="2"/>
  <c r="G141" i="2"/>
  <c r="H141" i="2"/>
  <c r="I141" i="2"/>
  <c r="J141" i="2"/>
  <c r="A142" i="2"/>
  <c r="B142" i="2"/>
  <c r="C142" i="2"/>
  <c r="D142" i="2"/>
  <c r="E142" i="2"/>
  <c r="F142" i="2"/>
  <c r="G142" i="2"/>
  <c r="H142" i="2"/>
  <c r="I142" i="2"/>
  <c r="J142" i="2"/>
  <c r="A143" i="2"/>
  <c r="B143" i="2"/>
  <c r="C143" i="2"/>
  <c r="D143" i="2"/>
  <c r="E143" i="2"/>
  <c r="F143" i="2"/>
  <c r="G143" i="2"/>
  <c r="H143" i="2"/>
  <c r="I143" i="2"/>
  <c r="J143" i="2"/>
  <c r="A144" i="2"/>
  <c r="B144" i="2"/>
  <c r="C144" i="2"/>
  <c r="D144" i="2"/>
  <c r="E144" i="2"/>
  <c r="F144" i="2"/>
  <c r="G144" i="2"/>
  <c r="H144" i="2"/>
  <c r="I144" i="2"/>
  <c r="J144" i="2"/>
  <c r="A145" i="2"/>
  <c r="B145" i="2"/>
  <c r="C145" i="2"/>
  <c r="D145" i="2"/>
  <c r="E145" i="2"/>
  <c r="F145" i="2"/>
  <c r="G145" i="2"/>
  <c r="H145" i="2"/>
  <c r="I145" i="2"/>
  <c r="J145" i="2"/>
  <c r="A146" i="2"/>
  <c r="B146" i="2"/>
  <c r="C146" i="2"/>
  <c r="D146" i="2"/>
  <c r="E146" i="2"/>
  <c r="F146" i="2"/>
  <c r="G146" i="2"/>
  <c r="H146" i="2"/>
  <c r="I146" i="2"/>
  <c r="J146" i="2"/>
  <c r="A147" i="2"/>
  <c r="B147" i="2"/>
  <c r="C147" i="2"/>
  <c r="D147" i="2"/>
  <c r="E147" i="2"/>
  <c r="F147" i="2"/>
  <c r="G147" i="2"/>
  <c r="H147" i="2"/>
  <c r="I147" i="2"/>
  <c r="J147" i="2"/>
  <c r="A148" i="2"/>
  <c r="B148" i="2"/>
  <c r="C148" i="2"/>
  <c r="D148" i="2"/>
  <c r="E148" i="2"/>
  <c r="F148" i="2"/>
  <c r="G148" i="2"/>
  <c r="H148" i="2"/>
  <c r="I148" i="2"/>
  <c r="J148" i="2"/>
  <c r="A149" i="2"/>
  <c r="B149" i="2"/>
  <c r="C149" i="2"/>
  <c r="D149" i="2"/>
  <c r="E149" i="2"/>
  <c r="F149" i="2"/>
  <c r="G149" i="2"/>
  <c r="H149" i="2"/>
  <c r="I149" i="2"/>
  <c r="J149" i="2"/>
  <c r="A150" i="2"/>
  <c r="B150" i="2"/>
  <c r="C150" i="2"/>
  <c r="D150" i="2"/>
  <c r="E150" i="2"/>
  <c r="F150" i="2"/>
  <c r="G150" i="2"/>
  <c r="H150" i="2"/>
  <c r="I150" i="2"/>
  <c r="J150" i="2"/>
  <c r="A151" i="2"/>
  <c r="B151" i="2"/>
  <c r="C151" i="2"/>
  <c r="D151" i="2"/>
  <c r="E151" i="2"/>
  <c r="F151" i="2"/>
  <c r="G151" i="2"/>
  <c r="H151" i="2"/>
  <c r="I151" i="2"/>
  <c r="J151" i="2"/>
  <c r="A152" i="2"/>
  <c r="B152" i="2"/>
  <c r="C152" i="2"/>
  <c r="D152" i="2"/>
  <c r="E152" i="2"/>
  <c r="F152" i="2"/>
  <c r="G152" i="2"/>
  <c r="H152" i="2"/>
  <c r="I152" i="2"/>
  <c r="J152" i="2"/>
  <c r="A153" i="2"/>
  <c r="B153" i="2"/>
  <c r="C153" i="2"/>
  <c r="D153" i="2"/>
  <c r="E153" i="2"/>
  <c r="F153" i="2"/>
  <c r="G153" i="2"/>
  <c r="H153" i="2"/>
  <c r="I153" i="2"/>
  <c r="J153" i="2"/>
  <c r="A154" i="2"/>
  <c r="B154" i="2"/>
  <c r="C154" i="2"/>
  <c r="D154" i="2"/>
  <c r="E154" i="2"/>
  <c r="F154" i="2"/>
  <c r="G154" i="2"/>
  <c r="H154" i="2"/>
  <c r="I154" i="2"/>
  <c r="J154" i="2"/>
  <c r="A155" i="2"/>
  <c r="B155" i="2"/>
  <c r="C155" i="2"/>
  <c r="D155" i="2"/>
  <c r="E155" i="2"/>
  <c r="F155" i="2"/>
  <c r="G155" i="2"/>
  <c r="H155" i="2"/>
  <c r="I155" i="2"/>
  <c r="J155" i="2"/>
  <c r="A156" i="2"/>
  <c r="B156" i="2"/>
  <c r="C156" i="2"/>
  <c r="D156" i="2"/>
  <c r="E156" i="2"/>
  <c r="F156" i="2"/>
  <c r="G156" i="2"/>
  <c r="H156" i="2"/>
  <c r="I156" i="2"/>
  <c r="J156" i="2"/>
  <c r="A157" i="2"/>
  <c r="B157" i="2"/>
  <c r="C157" i="2"/>
  <c r="D157" i="2"/>
  <c r="E157" i="2"/>
  <c r="F157" i="2"/>
  <c r="G157" i="2"/>
  <c r="H157" i="2"/>
  <c r="I157" i="2"/>
  <c r="J157" i="2"/>
  <c r="A158" i="2"/>
  <c r="B158" i="2"/>
  <c r="C158" i="2"/>
  <c r="D158" i="2"/>
  <c r="E158" i="2"/>
  <c r="F158" i="2"/>
  <c r="G158" i="2"/>
  <c r="H158" i="2"/>
  <c r="I158" i="2"/>
  <c r="J158" i="2"/>
  <c r="A159" i="2"/>
  <c r="B159" i="2"/>
  <c r="C159" i="2"/>
  <c r="D159" i="2"/>
  <c r="E159" i="2"/>
  <c r="F159" i="2"/>
  <c r="G159" i="2"/>
  <c r="H159" i="2"/>
  <c r="I159" i="2"/>
  <c r="J159" i="2"/>
  <c r="A160" i="2"/>
  <c r="B160" i="2"/>
  <c r="C160" i="2"/>
  <c r="D160" i="2"/>
  <c r="E160" i="2"/>
  <c r="F160" i="2"/>
  <c r="G160" i="2"/>
  <c r="H160" i="2"/>
  <c r="I160" i="2"/>
  <c r="J160" i="2"/>
  <c r="A161" i="2"/>
  <c r="B161" i="2"/>
  <c r="C161" i="2"/>
  <c r="D161" i="2"/>
  <c r="E161" i="2"/>
  <c r="F161" i="2"/>
  <c r="G161" i="2"/>
  <c r="H161" i="2"/>
  <c r="I161" i="2"/>
  <c r="J161" i="2"/>
  <c r="A162" i="2"/>
  <c r="B162" i="2"/>
  <c r="C162" i="2"/>
  <c r="D162" i="2"/>
  <c r="E162" i="2"/>
  <c r="F162" i="2"/>
  <c r="G162" i="2"/>
  <c r="H162" i="2"/>
  <c r="I162" i="2"/>
  <c r="J162" i="2"/>
  <c r="A163" i="2"/>
  <c r="B163" i="2"/>
  <c r="C163" i="2"/>
  <c r="D163" i="2"/>
  <c r="E163" i="2"/>
  <c r="F163" i="2"/>
  <c r="G163" i="2"/>
  <c r="H163" i="2"/>
  <c r="I163" i="2"/>
  <c r="J163" i="2"/>
  <c r="A164" i="2"/>
  <c r="B164" i="2"/>
  <c r="C164" i="2"/>
  <c r="D164" i="2"/>
  <c r="E164" i="2"/>
  <c r="F164" i="2"/>
  <c r="G164" i="2"/>
  <c r="H164" i="2"/>
  <c r="I164" i="2"/>
  <c r="J164" i="2"/>
  <c r="A165" i="2"/>
  <c r="B165" i="2"/>
  <c r="C165" i="2"/>
  <c r="D165" i="2"/>
  <c r="E165" i="2"/>
  <c r="F165" i="2"/>
  <c r="G165" i="2"/>
  <c r="H165" i="2"/>
  <c r="I165" i="2"/>
  <c r="J165" i="2"/>
  <c r="A166" i="2"/>
  <c r="B166" i="2"/>
  <c r="C166" i="2"/>
  <c r="D166" i="2"/>
  <c r="E166" i="2"/>
  <c r="F166" i="2"/>
  <c r="G166" i="2"/>
  <c r="H166" i="2"/>
  <c r="I166" i="2"/>
  <c r="J166" i="2"/>
  <c r="A167" i="2"/>
  <c r="B167" i="2"/>
  <c r="C167" i="2"/>
  <c r="D167" i="2"/>
  <c r="E167" i="2"/>
  <c r="F167" i="2"/>
  <c r="G167" i="2"/>
  <c r="H167" i="2"/>
  <c r="I167" i="2"/>
  <c r="J167" i="2"/>
  <c r="A168" i="2"/>
  <c r="B168" i="2"/>
  <c r="C168" i="2"/>
  <c r="D168" i="2"/>
  <c r="E168" i="2"/>
  <c r="F168" i="2"/>
  <c r="G168" i="2"/>
  <c r="H168" i="2"/>
  <c r="I168" i="2"/>
  <c r="J168" i="2"/>
  <c r="A169" i="2"/>
  <c r="B169" i="2"/>
  <c r="C169" i="2"/>
  <c r="D169" i="2"/>
  <c r="E169" i="2"/>
  <c r="F169" i="2"/>
  <c r="G169" i="2"/>
  <c r="H169" i="2"/>
  <c r="I169" i="2"/>
  <c r="J169" i="2"/>
  <c r="A170" i="2"/>
  <c r="B170" i="2"/>
  <c r="C170" i="2"/>
  <c r="D170" i="2"/>
  <c r="E170" i="2"/>
  <c r="F170" i="2"/>
  <c r="G170" i="2"/>
  <c r="H170" i="2"/>
  <c r="I170" i="2"/>
  <c r="J170" i="2"/>
  <c r="A171" i="2"/>
  <c r="B171" i="2"/>
  <c r="C171" i="2"/>
  <c r="D171" i="2"/>
  <c r="E171" i="2"/>
  <c r="F171" i="2"/>
  <c r="G171" i="2"/>
  <c r="H171" i="2"/>
  <c r="I171" i="2"/>
  <c r="J171" i="2"/>
  <c r="A172" i="2"/>
  <c r="B172" i="2"/>
  <c r="C172" i="2"/>
  <c r="D172" i="2"/>
  <c r="E172" i="2"/>
  <c r="F172" i="2"/>
  <c r="G172" i="2"/>
  <c r="H172" i="2"/>
  <c r="I172" i="2"/>
  <c r="J172" i="2"/>
  <c r="A173" i="2"/>
  <c r="B173" i="2"/>
  <c r="C173" i="2"/>
  <c r="D173" i="2"/>
  <c r="E173" i="2"/>
  <c r="F173" i="2"/>
  <c r="G173" i="2"/>
  <c r="H173" i="2"/>
  <c r="I173" i="2"/>
  <c r="J173" i="2"/>
  <c r="A174" i="2"/>
  <c r="B174" i="2"/>
  <c r="C174" i="2"/>
  <c r="D174" i="2"/>
  <c r="E174" i="2"/>
  <c r="F174" i="2"/>
  <c r="G174" i="2"/>
  <c r="H174" i="2"/>
  <c r="I174" i="2"/>
  <c r="J174" i="2"/>
  <c r="A175" i="2"/>
  <c r="B175" i="2"/>
  <c r="C175" i="2"/>
  <c r="D175" i="2"/>
  <c r="E175" i="2"/>
  <c r="F175" i="2"/>
  <c r="G175" i="2"/>
  <c r="H175" i="2"/>
  <c r="I175" i="2"/>
  <c r="J175" i="2"/>
  <c r="A176" i="2"/>
  <c r="B176" i="2"/>
  <c r="C176" i="2"/>
  <c r="D176" i="2"/>
  <c r="E176" i="2"/>
  <c r="F176" i="2"/>
  <c r="G176" i="2"/>
  <c r="H176" i="2"/>
  <c r="I176" i="2"/>
  <c r="J176" i="2"/>
  <c r="A177" i="2"/>
  <c r="B177" i="2"/>
  <c r="C177" i="2"/>
  <c r="D177" i="2"/>
  <c r="E177" i="2"/>
  <c r="F177" i="2"/>
  <c r="G177" i="2"/>
  <c r="H177" i="2"/>
  <c r="I177" i="2"/>
  <c r="J177" i="2"/>
  <c r="A178" i="2"/>
  <c r="B178" i="2"/>
  <c r="C178" i="2"/>
  <c r="D178" i="2"/>
  <c r="E178" i="2"/>
  <c r="F178" i="2"/>
  <c r="G178" i="2"/>
  <c r="H178" i="2"/>
  <c r="I178" i="2"/>
  <c r="J178" i="2"/>
  <c r="A179" i="2"/>
  <c r="B179" i="2"/>
  <c r="C179" i="2"/>
  <c r="D179" i="2"/>
  <c r="E179" i="2"/>
  <c r="F179" i="2"/>
  <c r="G179" i="2"/>
  <c r="H179" i="2"/>
  <c r="I179" i="2"/>
  <c r="J179" i="2"/>
  <c r="A180" i="2"/>
  <c r="B180" i="2"/>
  <c r="C180" i="2"/>
  <c r="D180" i="2"/>
  <c r="E180" i="2"/>
  <c r="F180" i="2"/>
  <c r="G180" i="2"/>
  <c r="H180" i="2"/>
  <c r="I180" i="2"/>
  <c r="J180" i="2"/>
  <c r="A181" i="2"/>
  <c r="B181" i="2"/>
  <c r="C181" i="2"/>
  <c r="D181" i="2"/>
  <c r="E181" i="2"/>
  <c r="F181" i="2"/>
  <c r="G181" i="2"/>
  <c r="H181" i="2"/>
  <c r="I181" i="2"/>
  <c r="J181" i="2"/>
  <c r="A182" i="2"/>
  <c r="B182" i="2"/>
  <c r="C182" i="2"/>
  <c r="D182" i="2"/>
  <c r="E182" i="2"/>
  <c r="F182" i="2"/>
  <c r="G182" i="2"/>
  <c r="H182" i="2"/>
  <c r="I182" i="2"/>
  <c r="J182" i="2"/>
  <c r="A183" i="2"/>
  <c r="B183" i="2"/>
  <c r="C183" i="2"/>
  <c r="D183" i="2"/>
  <c r="E183" i="2"/>
  <c r="F183" i="2"/>
  <c r="G183" i="2"/>
  <c r="H183" i="2"/>
  <c r="I183" i="2"/>
  <c r="J183" i="2"/>
  <c r="A184" i="2"/>
  <c r="B184" i="2"/>
  <c r="C184" i="2"/>
  <c r="D184" i="2"/>
  <c r="E184" i="2"/>
  <c r="F184" i="2"/>
  <c r="G184" i="2"/>
  <c r="H184" i="2"/>
  <c r="I184" i="2"/>
  <c r="J184" i="2"/>
  <c r="A185" i="2"/>
  <c r="B185" i="2"/>
  <c r="C185" i="2"/>
  <c r="D185" i="2"/>
  <c r="E185" i="2"/>
  <c r="F185" i="2"/>
  <c r="G185" i="2"/>
  <c r="H185" i="2"/>
  <c r="I185" i="2"/>
  <c r="J185" i="2"/>
  <c r="A186" i="2"/>
  <c r="B186" i="2"/>
  <c r="C186" i="2"/>
  <c r="D186" i="2"/>
  <c r="E186" i="2"/>
  <c r="F186" i="2"/>
  <c r="G186" i="2"/>
  <c r="H186" i="2"/>
  <c r="I186" i="2"/>
  <c r="J186" i="2"/>
  <c r="A187" i="2"/>
  <c r="B187" i="2"/>
  <c r="C187" i="2"/>
  <c r="D187" i="2"/>
  <c r="E187" i="2"/>
  <c r="F187" i="2"/>
  <c r="G187" i="2"/>
  <c r="H187" i="2"/>
  <c r="I187" i="2"/>
  <c r="J187" i="2"/>
  <c r="A188" i="2"/>
  <c r="B188" i="2"/>
  <c r="C188" i="2"/>
  <c r="D188" i="2"/>
  <c r="E188" i="2"/>
  <c r="F188" i="2"/>
  <c r="G188" i="2"/>
  <c r="H188" i="2"/>
  <c r="I188" i="2"/>
  <c r="J188" i="2"/>
  <c r="A189" i="2"/>
  <c r="B189" i="2"/>
  <c r="C189" i="2"/>
  <c r="D189" i="2"/>
  <c r="E189" i="2"/>
  <c r="F189" i="2"/>
  <c r="G189" i="2"/>
  <c r="H189" i="2"/>
  <c r="I189" i="2"/>
  <c r="J189" i="2"/>
  <c r="A190" i="2"/>
  <c r="B190" i="2"/>
  <c r="C190" i="2"/>
  <c r="D190" i="2"/>
  <c r="E190" i="2"/>
  <c r="F190" i="2"/>
  <c r="G190" i="2"/>
  <c r="H190" i="2"/>
  <c r="I190" i="2"/>
  <c r="J190" i="2"/>
  <c r="A191" i="2"/>
  <c r="B191" i="2"/>
  <c r="C191" i="2"/>
  <c r="D191" i="2"/>
  <c r="E191" i="2"/>
  <c r="F191" i="2"/>
  <c r="G191" i="2"/>
  <c r="H191" i="2"/>
  <c r="I191" i="2"/>
  <c r="J191" i="2"/>
  <c r="A192" i="2"/>
  <c r="B192" i="2"/>
  <c r="C192" i="2"/>
  <c r="D192" i="2"/>
  <c r="E192" i="2"/>
  <c r="F192" i="2"/>
  <c r="G192" i="2"/>
  <c r="H192" i="2"/>
  <c r="I192" i="2"/>
  <c r="J192" i="2"/>
  <c r="A193" i="2"/>
  <c r="B193" i="2"/>
  <c r="C193" i="2"/>
  <c r="D193" i="2"/>
  <c r="E193" i="2"/>
  <c r="F193" i="2"/>
  <c r="G193" i="2"/>
  <c r="H193" i="2"/>
  <c r="I193" i="2"/>
  <c r="J193" i="2"/>
  <c r="A194" i="2"/>
  <c r="B194" i="2"/>
  <c r="C194" i="2"/>
  <c r="D194" i="2"/>
  <c r="E194" i="2"/>
  <c r="F194" i="2"/>
  <c r="G194" i="2"/>
  <c r="H194" i="2"/>
  <c r="I194" i="2"/>
  <c r="J194" i="2"/>
  <c r="A195" i="2"/>
  <c r="B195" i="2"/>
  <c r="C195" i="2"/>
  <c r="D195" i="2"/>
  <c r="E195" i="2"/>
  <c r="F195" i="2"/>
  <c r="G195" i="2"/>
  <c r="H195" i="2"/>
  <c r="I195" i="2"/>
  <c r="J195" i="2"/>
  <c r="A196" i="2"/>
  <c r="B196" i="2"/>
  <c r="C196" i="2"/>
  <c r="D196" i="2"/>
  <c r="E196" i="2"/>
  <c r="F196" i="2"/>
  <c r="G196" i="2"/>
  <c r="H196" i="2"/>
  <c r="I196" i="2"/>
  <c r="J196" i="2"/>
  <c r="A197" i="2"/>
  <c r="B197" i="2"/>
  <c r="C197" i="2"/>
  <c r="D197" i="2"/>
  <c r="E197" i="2"/>
  <c r="F197" i="2"/>
  <c r="G197" i="2"/>
  <c r="H197" i="2"/>
  <c r="I197" i="2"/>
  <c r="J197" i="2"/>
  <c r="A198" i="2"/>
  <c r="B198" i="2"/>
  <c r="C198" i="2"/>
  <c r="D198" i="2"/>
  <c r="E198" i="2"/>
  <c r="F198" i="2"/>
  <c r="G198" i="2"/>
  <c r="H198" i="2"/>
  <c r="I198" i="2"/>
  <c r="J198" i="2"/>
  <c r="A199" i="2"/>
  <c r="B199" i="2"/>
  <c r="C199" i="2"/>
  <c r="D199" i="2"/>
  <c r="E199" i="2"/>
  <c r="F199" i="2"/>
  <c r="G199" i="2"/>
  <c r="H199" i="2"/>
  <c r="I199" i="2"/>
  <c r="J199" i="2"/>
  <c r="A200" i="2"/>
  <c r="B200" i="2"/>
  <c r="C200" i="2"/>
  <c r="D200" i="2"/>
  <c r="E200" i="2"/>
  <c r="F200" i="2"/>
  <c r="G200" i="2"/>
  <c r="H200" i="2"/>
  <c r="I200" i="2"/>
  <c r="J200" i="2"/>
</calcChain>
</file>

<file path=xl/sharedStrings.xml><?xml version="1.0" encoding="utf-8"?>
<sst xmlns="http://schemas.openxmlformats.org/spreadsheetml/2006/main" count="2020" uniqueCount="75">
  <si>
    <t>回次号</t>
  </si>
  <si>
    <t>回次进尺(m)*</t>
  </si>
  <si>
    <t>&lt;10cm碎屑数*</t>
  </si>
  <si>
    <t>L1(cm)</t>
  </si>
  <si>
    <t>L2(cm)</t>
  </si>
  <si>
    <t>L3(cm)</t>
  </si>
  <si>
    <t>L4(cm)</t>
  </si>
  <si>
    <t>L5(cm)</t>
  </si>
  <si>
    <t>L6(cm)</t>
  </si>
  <si>
    <t>L7(cm)</t>
  </si>
  <si>
    <t>L8(cm)</t>
  </si>
  <si>
    <t>L9(cm)</t>
  </si>
  <si>
    <t>L10(cm)</t>
  </si>
  <si>
    <t>L11(cm)</t>
  </si>
  <si>
    <t>L12(cm)</t>
  </si>
  <si>
    <t>L13(cm)</t>
  </si>
  <si>
    <t>L14(cm)</t>
  </si>
  <si>
    <t>L15(cm)</t>
  </si>
  <si>
    <t>L16(cm)</t>
  </si>
  <si>
    <t>L17(cm)</t>
  </si>
  <si>
    <t>L18(cm)</t>
  </si>
  <si>
    <t>L19(cm)</t>
  </si>
  <si>
    <t>L20(cm)</t>
  </si>
  <si>
    <t>L21(cm)</t>
  </si>
  <si>
    <t>L22(cm)</t>
  </si>
  <si>
    <t>L23(cm)</t>
  </si>
  <si>
    <t>L24(cm)</t>
  </si>
  <si>
    <t>L25(cm)</t>
  </si>
  <si>
    <t>L26(cm)</t>
  </si>
  <si>
    <t>L27(cm)</t>
  </si>
  <si>
    <t>L28(cm)</t>
  </si>
  <si>
    <t>L29(cm)</t>
  </si>
  <si>
    <t>L30(cm)</t>
  </si>
  <si>
    <t>进尺(m)</t>
  </si>
  <si>
    <t>≥10cm段数</t>
  </si>
  <si>
    <t>≥10cm总长(cm)</t>
  </si>
  <si>
    <t>RQD(%)</t>
  </si>
  <si>
    <t>区间起点(m)</t>
  </si>
  <si>
    <t>区间终点(m)</t>
  </si>
  <si>
    <t>岩心总段数n</t>
  </si>
  <si>
    <t>节理数J</t>
  </si>
  <si>
    <t>平均间距S(cm)</t>
  </si>
  <si>
    <t>岩质</t>
  </si>
  <si>
    <t>岩体结构</t>
  </si>
  <si>
    <t>坚硬程度</t>
  </si>
  <si>
    <t>岩心均一性</t>
  </si>
  <si>
    <t>地下水</t>
  </si>
  <si>
    <t>洞轴夹角&lt;30°</t>
  </si>
  <si>
    <t>硬质岩</t>
  </si>
  <si>
    <t>整体状或巨厚层状结构</t>
  </si>
  <si>
    <t>坚硬岩</t>
  </si>
  <si>
    <t>均一无软弱夹层</t>
  </si>
  <si>
    <t>干燥</t>
  </si>
  <si>
    <t>不设置</t>
  </si>
  <si>
    <t/>
  </si>
  <si>
    <t>岩心回次统计导入模板 · 填写说明（v4 一钻孔一文件 · 录入/成果双表）</t>
  </si>
  <si>
    <t>【使用方式】</t>
  </si>
  <si>
    <t>1. 一个钻孔 = 一个 Excel 文件，建议文件名即钻孔编号（如 ZK1.xlsx）；导入软件时再选择目标钻孔。</t>
  </si>
  <si>
    <t>2. 「数据录入」表：一行 = 一个回次，行序 = 深度顺序（自上而下），软件按行序累计深度并生成三维展示。</t>
  </si>
  <si>
    <t>3. 蓝色列手工填写：回次进尺(m)、&lt;10cm碎屑数（无碎屑填0）、逐根量测的 ≥10cm 岩心段长 L1、L2…（按出土顺序从左到右，cm，0.1cm 精度）。回次号选填。</t>
  </si>
  <si>
    <t>4. 「计算成果」表：前 10 列灰底为公式自动生成（与录入表逐行对齐），请勿改动；最后 6 列（岩质/岩体结构/坚硬程度/岩心均一性/地下水/洞轴夹角）为选填下拉。</t>
  </si>
  <si>
    <t>5. 新增回次请直接在「数据录入」末尾追加行（公式已预填到第 200 行）；中间插行后需将「计算成果」公式列下拉填充对齐。</t>
  </si>
  <si>
    <t>6. 每回次最多 30 根 ≥10cm 段（L1–L30），超出请联系开发者扩展。</t>
  </si>
  <si>
    <t>【自动计算口径（与规范 F.0.4 一致）】</t>
  </si>
  <si>
    <t>≥10cm段数 = 本行 L 列已填个数；总长 = ΣL；RQD(%) = 总长÷(进尺×100)×100。</t>
  </si>
  <si>
    <t>岩心总段数 n = 段数 + 碎屑数；节理数 J = n − 1；平均间距 S = 进尺×100÷n (cm)。</t>
  </si>
  <si>
    <t>区间起点 = 上一行终点（首行=0；非 0 起深的钻孔在导入软件时设置起始深度）。</t>
  </si>
  <si>
    <t>软件导入时按录入表原始数据重新计算全部指标，成果表公式仅供现场查看。</t>
  </si>
  <si>
    <t>【校验规则（导入预览时提示）】</t>
  </si>
  <si>
    <t>红行（阻断）：进尺缺失或≤0 / 段长&lt;10cm / 段长合计&gt;进尺×100。</t>
  </si>
  <si>
    <t>黄行（警告可跳过）：碎屑数空缺（按0处理）/ 碎屑平均长≥10cm（计数与量测矛盾）/ S&gt;500cm（疑似单位误填）。</t>
  </si>
  <si>
    <t>【F.0.2 六列（选填）】</t>
  </si>
  <si>
    <t>可全部留空（导入后在软件分段表内填写），也可整行填全——填全的回次导入后可一键生成围岩分类。</t>
  </si>
  <si>
    <t>【样板数据】</t>
  </si>
  <si>
    <t>录入表前 5 行为自洽示例（含 J=0 完整回次、无 ≥10cm 段的全破碎回次两个边界场景），正式使用前请删除。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</si>
</sst>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rial"/>
      <family val="2"/>
      <scheme val="minor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6E4F5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2" applyNumberFormat="1"/>
    <xf numFmtId="164" applyNumberFormat="1"/>
    <xf fillId="2" applyFill="1"/>
    <xf fontId="1" applyFont="1" fillId="2" applyFill="1"/>
    <xf fontId="1" applyFont="1" fillId="2" applyFill="1" applyAlignment="1">
      <alignment horizontal="center"/>
    </xf>
    <xf fillId="3" applyFill="1"/>
    <xf fontId="1" applyFont="1" fillId="3" applyFill="1"/>
    <xf fontId="1" applyFont="1" fillId="3" applyFill="1" applyAlignment="1">
      <alignment horizontal="center"/>
    </xf>
    <xf fontId="1" applyFont="1"/>
    <xf fontId="1" applyFont="1" fillId="4" applyFill="1" applyAlignment="1">
      <alignment horizontal="center"/>
    </xf>
    <xf fillId="4" applyFill="1"/>
    <xf fontId="1" applyFont="1" fillId="4" applyFill="1"/>
  </cellStyleXfs>
  <cellXfs count="7">
    <xf numFmtId="0" fontId="0" fillId="0" borderId="0" xfId="0"/>
    <xf xfId="0" quotePrefix="0" pivotButton="0" fontId="1" applyFont="1" fillId="4" applyFill="1" applyAlignment="1">
      <alignment horizontal="center"/>
    </xf>
    <xf xfId="0" quotePrefix="0" pivotButton="0" fontId="1" applyFont="1" fillId="2" applyFill="1" applyAlignment="1">
      <alignment horizontal="center"/>
    </xf>
    <xf xfId="0" quotePrefix="0" pivotButton="0" numFmtId="2" applyNumberFormat="1"/>
    <xf xfId="0" quotePrefix="0" pivotButton="0" numFmtId="164" applyNumberFormat="1"/>
    <xf xfId="0" quotePrefix="0" pivotButton="0" fontId="1" applyFont="1" fillId="3" applyFill="1" applyAlignment="1">
      <alignment horizontal="center"/>
    </xf>
    <xf xfId="0" quotePrefix="0" pivotButton="0" fontId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AG6"/>
  <sheetViews>
    <sheetView showGridLines="1" tabSelected="0" workbookViewId="0">
      <pane xSplit="3" ySplit="1" topLeftCell="D2" activePane="bottomRight" state="frozen"/>
      <selection pane="bottomRight" activeCell="A1" sqref="A1"/>
    </sheetView>
  </sheetViews>
  <sheetFormatPr defaultRowHeight="18.00" customHeight="1" defaultColWidth="10.79"/>
  <cols>
    <col min="1" max="1" width="7.6" customWidth="1" hidden="0"/>
    <col min="2" max="2" width="11.65" customWidth="1" hidden="0"/>
    <col min="3" max="3" width="12.27" customWidth="1" hidden="0"/>
    <col min="4" max="33" width="7.11" customWidth="1" hidden="0"/>
  </cols>
  <sheetData>
    <row r="1" ht="18.00" customHeight="true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</row>
    <row r="2" ht="18.00" customHeight="true">
      <c r="A2">
        <v>1</v>
      </c>
      <c r="B2" s="3">
        <v>2</v>
      </c>
      <c r="C2">
        <v>0</v>
      </c>
      <c r="D2" s="4">
        <v>40</v>
      </c>
      <c r="E2" s="4">
        <v>35</v>
      </c>
      <c r="F2" s="4">
        <v>30</v>
      </c>
      <c r="G2" s="4">
        <v>25</v>
      </c>
      <c r="H2" s="4">
        <v>20</v>
      </c>
      <c r="I2" s="4">
        <v>15</v>
      </c>
      <c r="J2" s="4">
        <v>12</v>
      </c>
      <c r="K2" s="4">
        <v>10</v>
      </c>
    </row>
    <row r="3" ht="18.00" customHeight="true">
      <c r="A3">
        <v>2</v>
      </c>
      <c r="B3" s="3">
        <v>1.5</v>
      </c>
      <c r="C3">
        <v>8</v>
      </c>
      <c r="D3" s="4">
        <v>30</v>
      </c>
      <c r="E3" s="4">
        <v>25</v>
      </c>
      <c r="F3" s="4">
        <v>20</v>
      </c>
      <c r="G3" s="4">
        <v>15</v>
      </c>
      <c r="H3" s="4">
        <v>12</v>
      </c>
    </row>
    <row r="4" ht="18.00" customHeight="true">
      <c r="A4">
        <v>3</v>
      </c>
      <c r="B4" s="3">
        <v>2</v>
      </c>
      <c r="C4">
        <v>25</v>
      </c>
      <c r="D4" s="4">
        <v>20</v>
      </c>
      <c r="E4" s="4">
        <v>20</v>
      </c>
    </row>
    <row r="5" ht="18.00" customHeight="true">
      <c r="A5">
        <v>4</v>
      </c>
      <c r="B5" s="3">
        <v>1</v>
      </c>
      <c r="C5">
        <v>0</v>
      </c>
      <c r="D5" s="4">
        <v>100</v>
      </c>
    </row>
    <row r="6" ht="18.00" customHeight="true">
      <c r="A6">
        <v>5</v>
      </c>
      <c r="B6" s="3">
        <v>2</v>
      </c>
      <c r="C6">
        <v>40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xl/worksheets/sheet2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P200"/>
  <sheetViews>
    <sheetView showGridLines="1" tabSelected="0" workbookViewId="0">
      <pane xSplit="2" ySplit="1" topLeftCell="C2" activePane="bottomRight" state="frozen"/>
      <selection pane="bottomRight" activeCell="A1" sqref="A1"/>
    </sheetView>
  </sheetViews>
  <sheetFormatPr defaultRowHeight="18.00" customHeight="1" defaultColWidth="10.79"/>
  <cols>
    <col min="1" max="1" width="7.6" customWidth="1" hidden="0"/>
    <col min="2" max="2" width="9.57" customWidth="1" hidden="0"/>
    <col min="4" max="4" width="12.88" customWidth="1" hidden="0"/>
    <col min="5" max="5" width="8.83" customWidth="1" hidden="0"/>
    <col min="8" max="8" width="11.28" customWidth="1" hidden="0"/>
    <col min="9" max="9" width="8.34" customWidth="1" hidden="0"/>
    <col min="10" max="10" width="12.88" customWidth="1" hidden="0"/>
    <col min="11" max="11" width="8.59" customWidth="1" hidden="0"/>
    <col min="12" max="12" width="23.3" customWidth="1" hidden="0"/>
    <col min="13" max="13" width="8.59" customWidth="1" hidden="0"/>
    <col min="14" max="14" width="15.94" customWidth="1" hidden="0"/>
    <col min="15" max="15" width="7.6" customWidth="1" hidden="0"/>
    <col min="16" max="16" width="12.88" customWidth="1" hidden="0"/>
  </cols>
  <sheetData>
    <row r="1" ht="18.00" customHeight="true">
      <c r="A1" t="s" s="5">
        <v>0</v>
      </c>
      <c r="B1" t="s" s="5">
        <v>33</v>
      </c>
      <c r="C1" t="s" s="5">
        <v>34</v>
      </c>
      <c r="D1" t="s" s="5">
        <v>35</v>
      </c>
      <c r="E1" t="s" s="5">
        <v>36</v>
      </c>
      <c r="F1" t="s" s="5">
        <v>37</v>
      </c>
      <c r="G1" t="s" s="5">
        <v>38</v>
      </c>
      <c r="H1" t="s" s="5">
        <v>39</v>
      </c>
      <c r="I1" t="s" s="5">
        <v>40</v>
      </c>
      <c r="J1" t="s" s="5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</row>
    <row r="2" ht="30.00" customHeight="false">
      <c r="A2">
        <f>IF(数据录入!$B2="","",IF(数据录入!$A2=""," ",数据录入!$A2))</f>
        <v>1</v>
      </c>
      <c r="B2">
        <f>IF(数据录入!$B2="","",数据录入!$B2)</f>
        <v>2</v>
      </c>
      <c r="C2">
        <f>IF(数据录入!$B2="","",COUNT(数据录入!$D2:$AG2))</f>
        <v>8</v>
      </c>
      <c r="D2">
        <f>IF(数据录入!$B2="","",SUM(数据录入!$D2:$AG2))</f>
        <v>187</v>
      </c>
      <c r="E2">
        <f>IF(OR(数据录入!$B2="",数据录入!$B2=0),"",ROUND(D2/(数据录入!$B2*100)*100,1))</f>
        <v>93.5</v>
      </c>
      <c r="F2">
        <f>IF(数据录入!$B2="","",IF(ROW()=2,0,N(G1)))</f>
        <v>0</v>
      </c>
      <c r="G2">
        <f>IF(数据录入!$B2="","",F2+数据录入!$B2)</f>
        <v>2</v>
      </c>
      <c r="H2">
        <f>IF(数据录入!$B2="","",C2+IF(数据录入!$C2="",0,数据录入!$C2))</f>
        <v>8</v>
      </c>
      <c r="I2">
        <f>IF(数据录入!$B2="","",H2-1)</f>
        <v>7</v>
      </c>
      <c r="J2">
        <f>IF(OR(数据录入!$B2="",H2=0),"",ROUND(数据录入!$B2*100/H2,1))</f>
        <v>25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</row>
    <row r="3" ht="18.00" customHeight="true">
      <c r="A3">
        <f>IF(数据录入!$B3="","",IF(数据录入!$A3=""," ",数据录入!$A3))</f>
        <v>2</v>
      </c>
      <c r="B3">
        <f>IF(数据录入!$B3="","",数据录入!$B3)</f>
        <v>1.5</v>
      </c>
      <c r="C3">
        <f>IF(数据录入!$B3="","",COUNT(数据录入!$D3:$AG3))</f>
        <v>5</v>
      </c>
      <c r="D3">
        <f>IF(数据录入!$B3="","",SUM(数据录入!$D3:$AG3))</f>
        <v>102</v>
      </c>
      <c r="E3">
        <f>IF(OR(数据录入!$B3="",数据录入!$B3=0),"",ROUND(D3/(数据录入!$B3*100)*100,1))</f>
        <v>68</v>
      </c>
      <c r="F3">
        <f>IF(数据录入!$B3="","",IF(ROW()=2,0,N(G2)))</f>
        <v>2</v>
      </c>
      <c r="G3">
        <f>IF(数据录入!$B3="","",F3+数据录入!$B3)</f>
        <v>3.5</v>
      </c>
      <c r="H3">
        <f>IF(数据录入!$B3="","",C3+IF(数据录入!$C3="",0,数据录入!$C3))</f>
        <v>13</v>
      </c>
      <c r="I3">
        <f>IF(数据录入!$B3="","",H3-1)</f>
        <v>12</v>
      </c>
      <c r="J3">
        <f>IF(OR(数据录入!$B3="",H3=0),"",ROUND(数据录入!$B3*100/H3,1))</f>
        <v>11.5</v>
      </c>
    </row>
    <row r="4" ht="18.00" customHeight="true">
      <c r="A4">
        <f>IF(数据录入!$B4="","",IF(数据录入!$A4=""," ",数据录入!$A4))</f>
        <v>3</v>
      </c>
      <c r="B4">
        <f>IF(数据录入!$B4="","",数据录入!$B4)</f>
        <v>2</v>
      </c>
      <c r="C4">
        <f>IF(数据录入!$B4="","",COUNT(数据录入!$D4:$AG4))</f>
        <v>2</v>
      </c>
      <c r="D4">
        <f>IF(数据录入!$B4="","",SUM(数据录入!$D4:$AG4))</f>
        <v>40</v>
      </c>
      <c r="E4">
        <f>IF(OR(数据录入!$B4="",数据录入!$B4=0),"",ROUND(D4/(数据录入!$B4*100)*100,1))</f>
        <v>20</v>
      </c>
      <c r="F4">
        <f>IF(数据录入!$B4="","",IF(ROW()=2,0,N(G3)))</f>
        <v>3.5</v>
      </c>
      <c r="G4">
        <f>IF(数据录入!$B4="","",F4+数据录入!$B4)</f>
        <v>5.5</v>
      </c>
      <c r="H4">
        <f>IF(数据录入!$B4="","",C4+IF(数据录入!$C4="",0,数据录入!$C4))</f>
        <v>27</v>
      </c>
      <c r="I4">
        <f>IF(数据录入!$B4="","",H4-1)</f>
        <v>26</v>
      </c>
      <c r="J4">
        <f>IF(OR(数据录入!$B4="",H4=0),"",ROUND(数据录入!$B4*100/H4,1))</f>
        <v>7.4</v>
      </c>
    </row>
    <row r="5" ht="18.00" customHeight="true">
      <c r="A5">
        <f>IF(数据录入!$B5="","",IF(数据录入!$A5=""," ",数据录入!$A5))</f>
        <v>4</v>
      </c>
      <c r="B5">
        <f>IF(数据录入!$B5="","",数据录入!$B5)</f>
        <v>1</v>
      </c>
      <c r="C5">
        <f>IF(数据录入!$B5="","",COUNT(数据录入!$D5:$AG5))</f>
        <v>1</v>
      </c>
      <c r="D5">
        <f>IF(数据录入!$B5="","",SUM(数据录入!$D5:$AG5))</f>
        <v>100</v>
      </c>
      <c r="E5">
        <f>IF(OR(数据录入!$B5="",数据录入!$B5=0),"",ROUND(D5/(数据录入!$B5*100)*100,1))</f>
        <v>100</v>
      </c>
      <c r="F5">
        <f>IF(数据录入!$B5="","",IF(ROW()=2,0,N(G4)))</f>
        <v>5.5</v>
      </c>
      <c r="G5">
        <f>IF(数据录入!$B5="","",F5+数据录入!$B5)</f>
        <v>6.5</v>
      </c>
      <c r="H5">
        <f>IF(数据录入!$B5="","",C5+IF(数据录入!$C5="",0,数据录入!$C5))</f>
        <v>1</v>
      </c>
      <c r="I5">
        <f>IF(数据录入!$B5="","",H5-1)</f>
        <v>0</v>
      </c>
      <c r="J5">
        <f>IF(OR(数据录入!$B5="",H5=0),"",ROUND(数据录入!$B5*100/H5,1))</f>
        <v>100</v>
      </c>
    </row>
    <row r="6" ht="18.00" customHeight="true">
      <c r="A6">
        <f>IF(数据录入!$B6="","",IF(数据录入!$A6=""," ",数据录入!$A6))</f>
        <v>5</v>
      </c>
      <c r="B6">
        <f>IF(数据录入!$B6="","",数据录入!$B6)</f>
        <v>2</v>
      </c>
      <c r="C6">
        <f>IF(数据录入!$B6="","",COUNT(数据录入!$D6:$AG6))</f>
        <v>0</v>
      </c>
      <c r="D6">
        <f>IF(数据录入!$B6="","",SUM(数据录入!$D6:$AG6))</f>
        <v>0</v>
      </c>
      <c r="E6">
        <f>IF(OR(数据录入!$B6="",数据录入!$B6=0),"",ROUND(D6/(数据录入!$B6*100)*100,1))</f>
        <v>0</v>
      </c>
      <c r="F6">
        <f>IF(数据录入!$B6="","",IF(ROW()=2,0,N(G5)))</f>
        <v>6.5</v>
      </c>
      <c r="G6">
        <f>IF(数据录入!$B6="","",F6+数据录入!$B6)</f>
        <v>8.5</v>
      </c>
      <c r="H6">
        <f>IF(数据录入!$B6="","",C6+IF(数据录入!$C6="",0,数据录入!$C6))</f>
        <v>40</v>
      </c>
      <c r="I6">
        <f>IF(数据录入!$B6="","",H6-1)</f>
        <v>39</v>
      </c>
      <c r="J6">
        <f>IF(OR(数据录入!$B6="",H6=0),"",ROUND(数据录入!$B6*100/H6,1))</f>
        <v>5</v>
      </c>
    </row>
    <row r="7" ht="18.00" customHeight="true">
      <c r="A7" t="str">
        <f>IF(数据录入!$B7="","",IF(数据录入!$A7=""," ",数据录入!$A7))</f>
        <v/>
      </c>
      <c r="B7" t="str">
        <f>IF(数据录入!$B7="","",数据录入!$B7)</f>
        <v/>
      </c>
      <c r="C7" t="str">
        <f>IF(数据录入!$B7="","",COUNT(数据录入!$D7:$AG7))</f>
        <v/>
      </c>
      <c r="D7" t="str">
        <f>IF(数据录入!$B7="","",SUM(数据录入!$D7:$AG7))</f>
        <v/>
      </c>
      <c r="E7" t="str">
        <f>IF(OR(数据录入!$B7="",数据录入!$B7=0),"",ROUND(D7/(数据录入!$B7*100)*100,1))</f>
        <v/>
      </c>
      <c r="F7" t="str">
        <f>IF(数据录入!$B7="","",IF(ROW()=2,0,N(G6)))</f>
        <v/>
      </c>
      <c r="G7" t="str">
        <f>IF(数据录入!$B7="","",F7+数据录入!$B7)</f>
        <v/>
      </c>
      <c r="H7" t="str">
        <f>IF(数据录入!$B7="","",C7+IF(数据录入!$C7="",0,数据录入!$C7))</f>
        <v/>
      </c>
      <c r="I7" t="str">
        <f>IF(数据录入!$B7="","",H7-1)</f>
        <v/>
      </c>
      <c r="J7" t="str">
        <f>IF(OR(数据录入!$B7="",H7=0),"",ROUND(数据录入!$B7*100/H7,1))</f>
        <v/>
      </c>
    </row>
    <row r="8" ht="18.00" customHeight="true">
      <c r="A8" t="str">
        <f>IF(数据录入!$B8="","",IF(数据录入!$A8=""," ",数据录入!$A8))</f>
        <v/>
      </c>
      <c r="B8" t="str">
        <f>IF(数据录入!$B8="","",数据录入!$B8)</f>
        <v/>
      </c>
      <c r="C8" t="str">
        <f>IF(数据录入!$B8="","",COUNT(数据录入!$D8:$AG8))</f>
        <v/>
      </c>
      <c r="D8" t="str">
        <f>IF(数据录入!$B8="","",SUM(数据录入!$D8:$AG8))</f>
        <v/>
      </c>
      <c r="E8" t="str">
        <f>IF(OR(数据录入!$B8="",数据录入!$B8=0),"",ROUND(D8/(数据录入!$B8*100)*100,1))</f>
        <v/>
      </c>
      <c r="F8" t="str">
        <f>IF(数据录入!$B8="","",IF(ROW()=2,0,N(G7)))</f>
        <v/>
      </c>
      <c r="G8" t="str">
        <f>IF(数据录入!$B8="","",F8+数据录入!$B8)</f>
        <v/>
      </c>
      <c r="H8" t="str">
        <f>IF(数据录入!$B8="","",C8+IF(数据录入!$C8="",0,数据录入!$C8))</f>
        <v/>
      </c>
      <c r="I8" t="str">
        <f>IF(数据录入!$B8="","",H8-1)</f>
        <v/>
      </c>
      <c r="J8" t="str">
        <f>IF(OR(数据录入!$B8="",H8=0),"",ROUND(数据录入!$B8*100/H8,1))</f>
        <v/>
      </c>
    </row>
    <row r="9" ht="18.00" customHeight="true">
      <c r="A9" t="str">
        <f>IF(数据录入!$B9="","",IF(数据录入!$A9=""," ",数据录入!$A9))</f>
        <v/>
      </c>
      <c r="B9" t="str">
        <f>IF(数据录入!$B9="","",数据录入!$B9)</f>
        <v/>
      </c>
      <c r="C9" t="str">
        <f>IF(数据录入!$B9="","",COUNT(数据录入!$D9:$AG9))</f>
        <v/>
      </c>
      <c r="D9" t="str">
        <f>IF(数据录入!$B9="","",SUM(数据录入!$D9:$AG9))</f>
        <v/>
      </c>
      <c r="E9" t="str">
        <f>IF(OR(数据录入!$B9="",数据录入!$B9=0),"",ROUND(D9/(数据录入!$B9*100)*100,1))</f>
        <v/>
      </c>
      <c r="F9" t="str">
        <f>IF(数据录入!$B9="","",IF(ROW()=2,0,N(G8)))</f>
        <v/>
      </c>
      <c r="G9" t="str">
        <f>IF(数据录入!$B9="","",F9+数据录入!$B9)</f>
        <v/>
      </c>
      <c r="H9" t="str">
        <f>IF(数据录入!$B9="","",C9+IF(数据录入!$C9="",0,数据录入!$C9))</f>
        <v/>
      </c>
      <c r="I9" t="str">
        <f>IF(数据录入!$B9="","",H9-1)</f>
        <v/>
      </c>
      <c r="J9" t="str">
        <f>IF(OR(数据录入!$B9="",H9=0),"",ROUND(数据录入!$B9*100/H9,1))</f>
        <v/>
      </c>
    </row>
    <row r="10" ht="18.00" customHeight="true">
      <c r="A10" t="str">
        <f>IF(数据录入!$B10="","",IF(数据录入!$A10=""," ",数据录入!$A10))</f>
        <v/>
      </c>
      <c r="B10" t="str">
        <f>IF(数据录入!$B10="","",数据录入!$B10)</f>
        <v/>
      </c>
      <c r="C10" t="str">
        <f>IF(数据录入!$B10="","",COUNT(数据录入!$D10:$AG10))</f>
        <v/>
      </c>
      <c r="D10" t="str">
        <f>IF(数据录入!$B10="","",SUM(数据录入!$D10:$AG10))</f>
        <v/>
      </c>
      <c r="E10" t="str">
        <f>IF(OR(数据录入!$B10="",数据录入!$B10=0),"",ROUND(D10/(数据录入!$B10*100)*100,1))</f>
        <v/>
      </c>
      <c r="F10" t="str">
        <f>IF(数据录入!$B10="","",IF(ROW()=2,0,N(G9)))</f>
        <v/>
      </c>
      <c r="G10" t="str">
        <f>IF(数据录入!$B10="","",F10+数据录入!$B10)</f>
        <v/>
      </c>
      <c r="H10" t="str">
        <f>IF(数据录入!$B10="","",C10+IF(数据录入!$C10="",0,数据录入!$C10))</f>
        <v/>
      </c>
      <c r="I10" t="str">
        <f>IF(数据录入!$B10="","",H10-1)</f>
        <v/>
      </c>
      <c r="J10" t="str">
        <f>IF(OR(数据录入!$B10="",H10=0),"",ROUND(数据录入!$B10*100/H10,1))</f>
        <v/>
      </c>
    </row>
    <row r="11" ht="18.00" customHeight="true">
      <c r="A11" t="str">
        <f>IF(数据录入!$B11="","",IF(数据录入!$A11=""," ",数据录入!$A11))</f>
        <v/>
      </c>
      <c r="B11" t="str">
        <f>IF(数据录入!$B11="","",数据录入!$B11)</f>
        <v/>
      </c>
      <c r="C11" t="str">
        <f>IF(数据录入!$B11="","",COUNT(数据录入!$D11:$AG11))</f>
        <v/>
      </c>
      <c r="D11" t="str">
        <f>IF(数据录入!$B11="","",SUM(数据录入!$D11:$AG11))</f>
        <v/>
      </c>
      <c r="E11" t="str">
        <f>IF(OR(数据录入!$B11="",数据录入!$B11=0),"",ROUND(D11/(数据录入!$B11*100)*100,1))</f>
        <v/>
      </c>
      <c r="F11" t="str">
        <f>IF(数据录入!$B11="","",IF(ROW()=2,0,N(G10)))</f>
        <v/>
      </c>
      <c r="G11" t="str">
        <f>IF(数据录入!$B11="","",F11+数据录入!$B11)</f>
        <v/>
      </c>
      <c r="H11" t="str">
        <f>IF(数据录入!$B11="","",C11+IF(数据录入!$C11="",0,数据录入!$C11))</f>
        <v/>
      </c>
      <c r="I11" t="str">
        <f>IF(数据录入!$B11="","",H11-1)</f>
        <v/>
      </c>
      <c r="J11" t="str">
        <f>IF(OR(数据录入!$B11="",H11=0),"",ROUND(数据录入!$B11*100/H11,1))</f>
        <v/>
      </c>
    </row>
    <row r="12" ht="18.00" customHeight="true">
      <c r="A12" t="str">
        <f>IF(数据录入!$B12="","",IF(数据录入!$A12=""," ",数据录入!$A12))</f>
        <v/>
      </c>
      <c r="B12" t="str">
        <f>IF(数据录入!$B12="","",数据录入!$B12)</f>
        <v/>
      </c>
      <c r="C12" t="str">
        <f>IF(数据录入!$B12="","",COUNT(数据录入!$D12:$AG12))</f>
        <v/>
      </c>
      <c r="D12" t="str">
        <f>IF(数据录入!$B12="","",SUM(数据录入!$D12:$AG12))</f>
        <v/>
      </c>
      <c r="E12" t="str">
        <f>IF(OR(数据录入!$B12="",数据录入!$B12=0),"",ROUND(D12/(数据录入!$B12*100)*100,1))</f>
        <v/>
      </c>
      <c r="F12" t="str">
        <f>IF(数据录入!$B12="","",IF(ROW()=2,0,N(G11)))</f>
        <v/>
      </c>
      <c r="G12" t="str">
        <f>IF(数据录入!$B12="","",F12+数据录入!$B12)</f>
        <v/>
      </c>
      <c r="H12" t="str">
        <f>IF(数据录入!$B12="","",C12+IF(数据录入!$C12="",0,数据录入!$C12))</f>
        <v/>
      </c>
      <c r="I12" t="str">
        <f>IF(数据录入!$B12="","",H12-1)</f>
        <v/>
      </c>
      <c r="J12" t="str">
        <f>IF(OR(数据录入!$B12="",H12=0),"",ROUND(数据录入!$B12*100/H12,1))</f>
        <v/>
      </c>
    </row>
    <row r="13" ht="18.00" customHeight="true">
      <c r="A13" t="str">
        <f>IF(数据录入!$B13="","",IF(数据录入!$A13=""," ",数据录入!$A13))</f>
        <v/>
      </c>
      <c r="B13" t="str">
        <f>IF(数据录入!$B13="","",数据录入!$B13)</f>
        <v/>
      </c>
      <c r="C13" t="str">
        <f>IF(数据录入!$B13="","",COUNT(数据录入!$D13:$AG13))</f>
        <v/>
      </c>
      <c r="D13" t="str">
        <f>IF(数据录入!$B13="","",SUM(数据录入!$D13:$AG13))</f>
        <v/>
      </c>
      <c r="E13" t="str">
        <f>IF(OR(数据录入!$B13="",数据录入!$B13=0),"",ROUND(D13/(数据录入!$B13*100)*100,1))</f>
        <v/>
      </c>
      <c r="F13" t="str">
        <f>IF(数据录入!$B13="","",IF(ROW()=2,0,N(G12)))</f>
        <v/>
      </c>
      <c r="G13" t="str">
        <f>IF(数据录入!$B13="","",F13+数据录入!$B13)</f>
        <v/>
      </c>
      <c r="H13" t="str">
        <f>IF(数据录入!$B13="","",C13+IF(数据录入!$C13="",0,数据录入!$C13))</f>
        <v/>
      </c>
      <c r="I13" t="str">
        <f>IF(数据录入!$B13="","",H13-1)</f>
        <v/>
      </c>
      <c r="J13" t="str">
        <f>IF(OR(数据录入!$B13="",H13=0),"",ROUND(数据录入!$B13*100/H13,1))</f>
        <v/>
      </c>
    </row>
    <row r="14" ht="18.00" customHeight="true">
      <c r="A14" t="str">
        <f>IF(数据录入!$B14="","",IF(数据录入!$A14=""," ",数据录入!$A14))</f>
        <v/>
      </c>
      <c r="B14" t="str">
        <f>IF(数据录入!$B14="","",数据录入!$B14)</f>
        <v/>
      </c>
      <c r="C14" t="str">
        <f>IF(数据录入!$B14="","",COUNT(数据录入!$D14:$AG14))</f>
        <v/>
      </c>
      <c r="D14" t="str">
        <f>IF(数据录入!$B14="","",SUM(数据录入!$D14:$AG14))</f>
        <v/>
      </c>
      <c r="E14" t="str">
        <f>IF(OR(数据录入!$B14="",数据录入!$B14=0),"",ROUND(D14/(数据录入!$B14*100)*100,1))</f>
        <v/>
      </c>
      <c r="F14" t="str">
        <f>IF(数据录入!$B14="","",IF(ROW()=2,0,N(G13)))</f>
        <v/>
      </c>
      <c r="G14" t="str">
        <f>IF(数据录入!$B14="","",F14+数据录入!$B14)</f>
        <v/>
      </c>
      <c r="H14" t="str">
        <f>IF(数据录入!$B14="","",C14+IF(数据录入!$C14="",0,数据录入!$C14))</f>
        <v/>
      </c>
      <c r="I14" t="str">
        <f>IF(数据录入!$B14="","",H14-1)</f>
        <v/>
      </c>
      <c r="J14" t="str">
        <f>IF(OR(数据录入!$B14="",H14=0),"",ROUND(数据录入!$B14*100/H14,1))</f>
        <v/>
      </c>
    </row>
    <row r="15" ht="18.00" customHeight="true">
      <c r="A15" t="str">
        <f>IF(数据录入!$B15="","",IF(数据录入!$A15=""," ",数据录入!$A15))</f>
        <v/>
      </c>
      <c r="B15" t="str">
        <f>IF(数据录入!$B15="","",数据录入!$B15)</f>
        <v/>
      </c>
      <c r="C15" t="str">
        <f>IF(数据录入!$B15="","",COUNT(数据录入!$D15:$AG15))</f>
        <v/>
      </c>
      <c r="D15" t="str">
        <f>IF(数据录入!$B15="","",SUM(数据录入!$D15:$AG15))</f>
        <v/>
      </c>
      <c r="E15" t="str">
        <f>IF(OR(数据录入!$B15="",数据录入!$B15=0),"",ROUND(D15/(数据录入!$B15*100)*100,1))</f>
        <v/>
      </c>
      <c r="F15" t="str">
        <f>IF(数据录入!$B15="","",IF(ROW()=2,0,N(G14)))</f>
        <v/>
      </c>
      <c r="G15" t="str">
        <f>IF(数据录入!$B15="","",F15+数据录入!$B15)</f>
        <v/>
      </c>
      <c r="H15" t="str">
        <f>IF(数据录入!$B15="","",C15+IF(数据录入!$C15="",0,数据录入!$C15))</f>
        <v/>
      </c>
      <c r="I15" t="str">
        <f>IF(数据录入!$B15="","",H15-1)</f>
        <v/>
      </c>
      <c r="J15" t="str">
        <f>IF(OR(数据录入!$B15="",H15=0),"",ROUND(数据录入!$B15*100/H15,1))</f>
        <v/>
      </c>
    </row>
    <row r="16" ht="18.00" customHeight="true">
      <c r="A16" t="str">
        <f>IF(数据录入!$B16="","",IF(数据录入!$A16=""," ",数据录入!$A16))</f>
        <v/>
      </c>
      <c r="B16" t="str">
        <f>IF(数据录入!$B16="","",数据录入!$B16)</f>
        <v/>
      </c>
      <c r="C16" t="str">
        <f>IF(数据录入!$B16="","",COUNT(数据录入!$D16:$AG16))</f>
        <v/>
      </c>
      <c r="D16" t="str">
        <f>IF(数据录入!$B16="","",SUM(数据录入!$D16:$AG16))</f>
        <v/>
      </c>
      <c r="E16" t="str">
        <f>IF(OR(数据录入!$B16="",数据录入!$B16=0),"",ROUND(D16/(数据录入!$B16*100)*100,1))</f>
        <v/>
      </c>
      <c r="F16" t="str">
        <f>IF(数据录入!$B16="","",IF(ROW()=2,0,N(G15)))</f>
        <v/>
      </c>
      <c r="G16" t="str">
        <f>IF(数据录入!$B16="","",F16+数据录入!$B16)</f>
        <v/>
      </c>
      <c r="H16" t="str">
        <f>IF(数据录入!$B16="","",C16+IF(数据录入!$C16="",0,数据录入!$C16))</f>
        <v/>
      </c>
      <c r="I16" t="str">
        <f>IF(数据录入!$B16="","",H16-1)</f>
        <v/>
      </c>
      <c r="J16" t="str">
        <f>IF(OR(数据录入!$B16="",H16=0),"",ROUND(数据录入!$B16*100/H16,1))</f>
        <v/>
      </c>
    </row>
    <row r="17" ht="18.00" customHeight="true">
      <c r="A17" t="str">
        <f>IF(数据录入!$B17="","",IF(数据录入!$A17=""," ",数据录入!$A17))</f>
        <v/>
      </c>
      <c r="B17" t="str">
        <f>IF(数据录入!$B17="","",数据录入!$B17)</f>
        <v/>
      </c>
      <c r="C17" t="str">
        <f>IF(数据录入!$B17="","",COUNT(数据录入!$D17:$AG17))</f>
        <v/>
      </c>
      <c r="D17" t="str">
        <f>IF(数据录入!$B17="","",SUM(数据录入!$D17:$AG17))</f>
        <v/>
      </c>
      <c r="E17" t="str">
        <f>IF(OR(数据录入!$B17="",数据录入!$B17=0),"",ROUND(D17/(数据录入!$B17*100)*100,1))</f>
        <v/>
      </c>
      <c r="F17" t="str">
        <f>IF(数据录入!$B17="","",IF(ROW()=2,0,N(G16)))</f>
        <v/>
      </c>
      <c r="G17" t="str">
        <f>IF(数据录入!$B17="","",F17+数据录入!$B17)</f>
        <v/>
      </c>
      <c r="H17" t="str">
        <f>IF(数据录入!$B17="","",C17+IF(数据录入!$C17="",0,数据录入!$C17))</f>
        <v/>
      </c>
      <c r="I17" t="str">
        <f>IF(数据录入!$B17="","",H17-1)</f>
        <v/>
      </c>
      <c r="J17" t="str">
        <f>IF(OR(数据录入!$B17="",H17=0),"",ROUND(数据录入!$B17*100/H17,1))</f>
        <v/>
      </c>
    </row>
    <row r="18" ht="18.00" customHeight="true">
      <c r="A18" t="str">
        <f>IF(数据录入!$B18="","",IF(数据录入!$A18=""," ",数据录入!$A18))</f>
        <v/>
      </c>
      <c r="B18" t="str">
        <f>IF(数据录入!$B18="","",数据录入!$B18)</f>
        <v/>
      </c>
      <c r="C18" t="str">
        <f>IF(数据录入!$B18="","",COUNT(数据录入!$D18:$AG18))</f>
        <v/>
      </c>
      <c r="D18" t="str">
        <f>IF(数据录入!$B18="","",SUM(数据录入!$D18:$AG18))</f>
        <v/>
      </c>
      <c r="E18" t="str">
        <f>IF(OR(数据录入!$B18="",数据录入!$B18=0),"",ROUND(D18/(数据录入!$B18*100)*100,1))</f>
        <v/>
      </c>
      <c r="F18" t="str">
        <f>IF(数据录入!$B18="","",IF(ROW()=2,0,N(G17)))</f>
        <v/>
      </c>
      <c r="G18" t="str">
        <f>IF(数据录入!$B18="","",F18+数据录入!$B18)</f>
        <v/>
      </c>
      <c r="H18" t="str">
        <f>IF(数据录入!$B18="","",C18+IF(数据录入!$C18="",0,数据录入!$C18))</f>
        <v/>
      </c>
      <c r="I18" t="str">
        <f>IF(数据录入!$B18="","",H18-1)</f>
        <v/>
      </c>
      <c r="J18" t="str">
        <f>IF(OR(数据录入!$B18="",H18=0),"",ROUND(数据录入!$B18*100/H18,1))</f>
        <v/>
      </c>
    </row>
    <row r="19" ht="18.00" customHeight="true">
      <c r="A19" t="str">
        <f>IF(数据录入!$B19="","",IF(数据录入!$A19=""," ",数据录入!$A19))</f>
        <v/>
      </c>
      <c r="B19" t="str">
        <f>IF(数据录入!$B19="","",数据录入!$B19)</f>
        <v/>
      </c>
      <c r="C19" t="str">
        <f>IF(数据录入!$B19="","",COUNT(数据录入!$D19:$AG19))</f>
        <v/>
      </c>
      <c r="D19" t="str">
        <f>IF(数据录入!$B19="","",SUM(数据录入!$D19:$AG19))</f>
        <v/>
      </c>
      <c r="E19" t="str">
        <f>IF(OR(数据录入!$B19="",数据录入!$B19=0),"",ROUND(D19/(数据录入!$B19*100)*100,1))</f>
        <v/>
      </c>
      <c r="F19" t="str">
        <f>IF(数据录入!$B19="","",IF(ROW()=2,0,N(G18)))</f>
        <v/>
      </c>
      <c r="G19" t="str">
        <f>IF(数据录入!$B19="","",F19+数据录入!$B19)</f>
        <v/>
      </c>
      <c r="H19" t="str">
        <f>IF(数据录入!$B19="","",C19+IF(数据录入!$C19="",0,数据录入!$C19))</f>
        <v/>
      </c>
      <c r="I19" t="str">
        <f>IF(数据录入!$B19="","",H19-1)</f>
        <v/>
      </c>
      <c r="J19" t="str">
        <f>IF(OR(数据录入!$B19="",H19=0),"",ROUND(数据录入!$B19*100/H19,1))</f>
        <v/>
      </c>
    </row>
    <row r="20" ht="18.00" customHeight="true">
      <c r="A20" t="str">
        <f>IF(数据录入!$B20="","",IF(数据录入!$A20=""," ",数据录入!$A20))</f>
        <v/>
      </c>
      <c r="B20" t="str">
        <f>IF(数据录入!$B20="","",数据录入!$B20)</f>
        <v/>
      </c>
      <c r="C20" t="str">
        <f>IF(数据录入!$B20="","",COUNT(数据录入!$D20:$AG20))</f>
        <v/>
      </c>
      <c r="D20" t="str">
        <f>IF(数据录入!$B20="","",SUM(数据录入!$D20:$AG20))</f>
        <v/>
      </c>
      <c r="E20" t="str">
        <f>IF(OR(数据录入!$B20="",数据录入!$B20=0),"",ROUND(D20/(数据录入!$B20*100)*100,1))</f>
        <v/>
      </c>
      <c r="F20" t="str">
        <f>IF(数据录入!$B20="","",IF(ROW()=2,0,N(G19)))</f>
        <v/>
      </c>
      <c r="G20" t="str">
        <f>IF(数据录入!$B20="","",F20+数据录入!$B20)</f>
        <v/>
      </c>
      <c r="H20" t="str">
        <f>IF(数据录入!$B20="","",C20+IF(数据录入!$C20="",0,数据录入!$C20))</f>
        <v/>
      </c>
      <c r="I20" t="str">
        <f>IF(数据录入!$B20="","",H20-1)</f>
        <v/>
      </c>
      <c r="J20" t="str">
        <f>IF(OR(数据录入!$B20="",H20=0),"",ROUND(数据录入!$B20*100/H20,1))</f>
        <v/>
      </c>
    </row>
    <row r="21" ht="18.00" customHeight="true">
      <c r="A21" t="str">
        <f>IF(数据录入!$B21="","",IF(数据录入!$A21=""," ",数据录入!$A21))</f>
        <v/>
      </c>
      <c r="B21" t="str">
        <f>IF(数据录入!$B21="","",数据录入!$B21)</f>
        <v/>
      </c>
      <c r="C21" t="str">
        <f>IF(数据录入!$B21="","",COUNT(数据录入!$D21:$AG21))</f>
        <v/>
      </c>
      <c r="D21" t="str">
        <f>IF(数据录入!$B21="","",SUM(数据录入!$D21:$AG21))</f>
        <v/>
      </c>
      <c r="E21" t="str">
        <f>IF(OR(数据录入!$B21="",数据录入!$B21=0),"",ROUND(D21/(数据录入!$B21*100)*100,1))</f>
        <v/>
      </c>
      <c r="F21" t="str">
        <f>IF(数据录入!$B21="","",IF(ROW()=2,0,N(G20)))</f>
        <v/>
      </c>
      <c r="G21" t="str">
        <f>IF(数据录入!$B21="","",F21+数据录入!$B21)</f>
        <v/>
      </c>
      <c r="H21" t="str">
        <f>IF(数据录入!$B21="","",C21+IF(数据录入!$C21="",0,数据录入!$C21))</f>
        <v/>
      </c>
      <c r="I21" t="str">
        <f>IF(数据录入!$B21="","",H21-1)</f>
        <v/>
      </c>
      <c r="J21" t="str">
        <f>IF(OR(数据录入!$B21="",H21=0),"",ROUND(数据录入!$B21*100/H21,1))</f>
        <v/>
      </c>
    </row>
    <row r="22" ht="18.00" customHeight="true">
      <c r="A22" t="str">
        <f>IF(数据录入!$B22="","",IF(数据录入!$A22=""," ",数据录入!$A22))</f>
        <v/>
      </c>
      <c r="B22" t="str">
        <f>IF(数据录入!$B22="","",数据录入!$B22)</f>
        <v/>
      </c>
      <c r="C22" t="str">
        <f>IF(数据录入!$B22="","",COUNT(数据录入!$D22:$AG22))</f>
        <v/>
      </c>
      <c r="D22" t="str">
        <f>IF(数据录入!$B22="","",SUM(数据录入!$D22:$AG22))</f>
        <v/>
      </c>
      <c r="E22" t="str">
        <f>IF(OR(数据录入!$B22="",数据录入!$B22=0),"",ROUND(D22/(数据录入!$B22*100)*100,1))</f>
        <v/>
      </c>
      <c r="F22" t="str">
        <f>IF(数据录入!$B22="","",IF(ROW()=2,0,N(G21)))</f>
        <v/>
      </c>
      <c r="G22" t="str">
        <f>IF(数据录入!$B22="","",F22+数据录入!$B22)</f>
        <v/>
      </c>
      <c r="H22" t="str">
        <f>IF(数据录入!$B22="","",C22+IF(数据录入!$C22="",0,数据录入!$C22))</f>
        <v/>
      </c>
      <c r="I22" t="str">
        <f>IF(数据录入!$B22="","",H22-1)</f>
        <v/>
      </c>
      <c r="J22" t="str">
        <f>IF(OR(数据录入!$B22="",H22=0),"",ROUND(数据录入!$B22*100/H22,1))</f>
        <v/>
      </c>
    </row>
    <row r="23" ht="18.00" customHeight="true">
      <c r="A23" t="str">
        <f>IF(数据录入!$B23="","",IF(数据录入!$A23=""," ",数据录入!$A23))</f>
        <v/>
      </c>
      <c r="B23" t="str">
        <f>IF(数据录入!$B23="","",数据录入!$B23)</f>
        <v/>
      </c>
      <c r="C23" t="str">
        <f>IF(数据录入!$B23="","",COUNT(数据录入!$D23:$AG23))</f>
        <v/>
      </c>
      <c r="D23" t="str">
        <f>IF(数据录入!$B23="","",SUM(数据录入!$D23:$AG23))</f>
        <v/>
      </c>
      <c r="E23" t="str">
        <f>IF(OR(数据录入!$B23="",数据录入!$B23=0),"",ROUND(D23/(数据录入!$B23*100)*100,1))</f>
        <v/>
      </c>
      <c r="F23" t="str">
        <f>IF(数据录入!$B23="","",IF(ROW()=2,0,N(G22)))</f>
        <v/>
      </c>
      <c r="G23" t="str">
        <f>IF(数据录入!$B23="","",F23+数据录入!$B23)</f>
        <v/>
      </c>
      <c r="H23" t="str">
        <f>IF(数据录入!$B23="","",C23+IF(数据录入!$C23="",0,数据录入!$C23))</f>
        <v/>
      </c>
      <c r="I23" t="str">
        <f>IF(数据录入!$B23="","",H23-1)</f>
        <v/>
      </c>
      <c r="J23" t="str">
        <f>IF(OR(数据录入!$B23="",H23=0),"",ROUND(数据录入!$B23*100/H23,1))</f>
        <v/>
      </c>
    </row>
    <row r="24" ht="18.00" customHeight="true">
      <c r="A24" t="str">
        <f>IF(数据录入!$B24="","",IF(数据录入!$A24=""," ",数据录入!$A24))</f>
        <v/>
      </c>
      <c r="B24" t="str">
        <f>IF(数据录入!$B24="","",数据录入!$B24)</f>
        <v/>
      </c>
      <c r="C24" t="str">
        <f>IF(数据录入!$B24="","",COUNT(数据录入!$D24:$AG24))</f>
        <v/>
      </c>
      <c r="D24" t="str">
        <f>IF(数据录入!$B24="","",SUM(数据录入!$D24:$AG24))</f>
        <v/>
      </c>
      <c r="E24" t="str">
        <f>IF(OR(数据录入!$B24="",数据录入!$B24=0),"",ROUND(D24/(数据录入!$B24*100)*100,1))</f>
        <v/>
      </c>
      <c r="F24" t="str">
        <f>IF(数据录入!$B24="","",IF(ROW()=2,0,N(G23)))</f>
        <v/>
      </c>
      <c r="G24" t="str">
        <f>IF(数据录入!$B24="","",F24+数据录入!$B24)</f>
        <v/>
      </c>
      <c r="H24" t="str">
        <f>IF(数据录入!$B24="","",C24+IF(数据录入!$C24="",0,数据录入!$C24))</f>
        <v/>
      </c>
      <c r="I24" t="str">
        <f>IF(数据录入!$B24="","",H24-1)</f>
        <v/>
      </c>
      <c r="J24" t="str">
        <f>IF(OR(数据录入!$B24="",H24=0),"",ROUND(数据录入!$B24*100/H24,1))</f>
        <v/>
      </c>
    </row>
    <row r="25" ht="18.00" customHeight="true">
      <c r="A25" t="str">
        <f>IF(数据录入!$B25="","",IF(数据录入!$A25=""," ",数据录入!$A25))</f>
        <v/>
      </c>
      <c r="B25" t="str">
        <f>IF(数据录入!$B25="","",数据录入!$B25)</f>
        <v/>
      </c>
      <c r="C25" t="str">
        <f>IF(数据录入!$B25="","",COUNT(数据录入!$D25:$AG25))</f>
        <v/>
      </c>
      <c r="D25" t="str">
        <f>IF(数据录入!$B25="","",SUM(数据录入!$D25:$AG25))</f>
        <v/>
      </c>
      <c r="E25" t="str">
        <f>IF(OR(数据录入!$B25="",数据录入!$B25=0),"",ROUND(D25/(数据录入!$B25*100)*100,1))</f>
        <v/>
      </c>
      <c r="F25" t="str">
        <f>IF(数据录入!$B25="","",IF(ROW()=2,0,N(G24)))</f>
        <v/>
      </c>
      <c r="G25" t="str">
        <f>IF(数据录入!$B25="","",F25+数据录入!$B25)</f>
        <v/>
      </c>
      <c r="H25" t="str">
        <f>IF(数据录入!$B25="","",C25+IF(数据录入!$C25="",0,数据录入!$C25))</f>
        <v/>
      </c>
      <c r="I25" t="str">
        <f>IF(数据录入!$B25="","",H25-1)</f>
        <v/>
      </c>
      <c r="J25" t="str">
        <f>IF(OR(数据录入!$B25="",H25=0),"",ROUND(数据录入!$B25*100/H25,1))</f>
        <v/>
      </c>
    </row>
    <row r="26" ht="18.00" customHeight="true">
      <c r="A26" t="str">
        <f>IF(数据录入!$B26="","",IF(数据录入!$A26=""," ",数据录入!$A26))</f>
        <v/>
      </c>
      <c r="B26" t="str">
        <f>IF(数据录入!$B26="","",数据录入!$B26)</f>
        <v/>
      </c>
      <c r="C26" t="str">
        <f>IF(数据录入!$B26="","",COUNT(数据录入!$D26:$AG26))</f>
        <v/>
      </c>
      <c r="D26" t="str">
        <f>IF(数据录入!$B26="","",SUM(数据录入!$D26:$AG26))</f>
        <v/>
      </c>
      <c r="E26" t="str">
        <f>IF(OR(数据录入!$B26="",数据录入!$B26=0),"",ROUND(D26/(数据录入!$B26*100)*100,1))</f>
        <v/>
      </c>
      <c r="F26" t="str">
        <f>IF(数据录入!$B26="","",IF(ROW()=2,0,N(G25)))</f>
        <v/>
      </c>
      <c r="G26" t="str">
        <f>IF(数据录入!$B26="","",F26+数据录入!$B26)</f>
        <v/>
      </c>
      <c r="H26" t="str">
        <f>IF(数据录入!$B26="","",C26+IF(数据录入!$C26="",0,数据录入!$C26))</f>
        <v/>
      </c>
      <c r="I26" t="str">
        <f>IF(数据录入!$B26="","",H26-1)</f>
        <v/>
      </c>
      <c r="J26" t="str">
        <f>IF(OR(数据录入!$B26="",H26=0),"",ROUND(数据录入!$B26*100/H26,1))</f>
        <v/>
      </c>
    </row>
    <row r="27" ht="18.00" customHeight="true">
      <c r="A27" t="str">
        <f>IF(数据录入!$B27="","",IF(数据录入!$A27=""," ",数据录入!$A27))</f>
        <v/>
      </c>
      <c r="B27" t="str">
        <f>IF(数据录入!$B27="","",数据录入!$B27)</f>
        <v/>
      </c>
      <c r="C27" t="str">
        <f>IF(数据录入!$B27="","",COUNT(数据录入!$D27:$AG27))</f>
        <v/>
      </c>
      <c r="D27" t="str">
        <f>IF(数据录入!$B27="","",SUM(数据录入!$D27:$AG27))</f>
        <v/>
      </c>
      <c r="E27" t="str">
        <f>IF(OR(数据录入!$B27="",数据录入!$B27=0),"",ROUND(D27/(数据录入!$B27*100)*100,1))</f>
        <v/>
      </c>
      <c r="F27" t="str">
        <f>IF(数据录入!$B27="","",IF(ROW()=2,0,N(G26)))</f>
        <v/>
      </c>
      <c r="G27" t="str">
        <f>IF(数据录入!$B27="","",F27+数据录入!$B27)</f>
        <v/>
      </c>
      <c r="H27" t="str">
        <f>IF(数据录入!$B27="","",C27+IF(数据录入!$C27="",0,数据录入!$C27))</f>
        <v/>
      </c>
      <c r="I27" t="str">
        <f>IF(数据录入!$B27="","",H27-1)</f>
        <v/>
      </c>
      <c r="J27" t="str">
        <f>IF(OR(数据录入!$B27="",H27=0),"",ROUND(数据录入!$B27*100/H27,1))</f>
        <v/>
      </c>
    </row>
    <row r="28" ht="18.00" customHeight="true">
      <c r="A28" t="str">
        <f>IF(数据录入!$B28="","",IF(数据录入!$A28=""," ",数据录入!$A28))</f>
        <v/>
      </c>
      <c r="B28" t="str">
        <f>IF(数据录入!$B28="","",数据录入!$B28)</f>
        <v/>
      </c>
      <c r="C28" t="str">
        <f>IF(数据录入!$B28="","",COUNT(数据录入!$D28:$AG28))</f>
        <v/>
      </c>
      <c r="D28" t="str">
        <f>IF(数据录入!$B28="","",SUM(数据录入!$D28:$AG28))</f>
        <v/>
      </c>
      <c r="E28" t="str">
        <f>IF(OR(数据录入!$B28="",数据录入!$B28=0),"",ROUND(D28/(数据录入!$B28*100)*100,1))</f>
        <v/>
      </c>
      <c r="F28" t="str">
        <f>IF(数据录入!$B28="","",IF(ROW()=2,0,N(G27)))</f>
        <v/>
      </c>
      <c r="G28" t="str">
        <f>IF(数据录入!$B28="","",F28+数据录入!$B28)</f>
        <v/>
      </c>
      <c r="H28" t="str">
        <f>IF(数据录入!$B28="","",C28+IF(数据录入!$C28="",0,数据录入!$C28))</f>
        <v/>
      </c>
      <c r="I28" t="str">
        <f>IF(数据录入!$B28="","",H28-1)</f>
        <v/>
      </c>
      <c r="J28" t="str">
        <f>IF(OR(数据录入!$B28="",H28=0),"",ROUND(数据录入!$B28*100/H28,1))</f>
        <v/>
      </c>
    </row>
    <row r="29" ht="18.00" customHeight="true">
      <c r="A29" t="str">
        <f>IF(数据录入!$B29="","",IF(数据录入!$A29=""," ",数据录入!$A29))</f>
        <v/>
      </c>
      <c r="B29" t="str">
        <f>IF(数据录入!$B29="","",数据录入!$B29)</f>
        <v/>
      </c>
      <c r="C29" t="str">
        <f>IF(数据录入!$B29="","",COUNT(数据录入!$D29:$AG29))</f>
        <v/>
      </c>
      <c r="D29" t="str">
        <f>IF(数据录入!$B29="","",SUM(数据录入!$D29:$AG29))</f>
        <v/>
      </c>
      <c r="E29" t="str">
        <f>IF(OR(数据录入!$B29="",数据录入!$B29=0),"",ROUND(D29/(数据录入!$B29*100)*100,1))</f>
        <v/>
      </c>
      <c r="F29" t="str">
        <f>IF(数据录入!$B29="","",IF(ROW()=2,0,N(G28)))</f>
        <v/>
      </c>
      <c r="G29" t="str">
        <f>IF(数据录入!$B29="","",F29+数据录入!$B29)</f>
        <v/>
      </c>
      <c r="H29" t="str">
        <f>IF(数据录入!$B29="","",C29+IF(数据录入!$C29="",0,数据录入!$C29))</f>
        <v/>
      </c>
      <c r="I29" t="str">
        <f>IF(数据录入!$B29="","",H29-1)</f>
        <v/>
      </c>
      <c r="J29" t="str">
        <f>IF(OR(数据录入!$B29="",H29=0),"",ROUND(数据录入!$B29*100/H29,1))</f>
        <v/>
      </c>
    </row>
    <row r="30" ht="18.00" customHeight="true">
      <c r="A30" t="str">
        <f>IF(数据录入!$B30="","",IF(数据录入!$A30=""," ",数据录入!$A30))</f>
        <v/>
      </c>
      <c r="B30" t="str">
        <f>IF(数据录入!$B30="","",数据录入!$B30)</f>
        <v/>
      </c>
      <c r="C30" t="str">
        <f>IF(数据录入!$B30="","",COUNT(数据录入!$D30:$AG30))</f>
        <v/>
      </c>
      <c r="D30" t="str">
        <f>IF(数据录入!$B30="","",SUM(数据录入!$D30:$AG30))</f>
        <v/>
      </c>
      <c r="E30" t="str">
        <f>IF(OR(数据录入!$B30="",数据录入!$B30=0),"",ROUND(D30/(数据录入!$B30*100)*100,1))</f>
        <v/>
      </c>
      <c r="F30" t="str">
        <f>IF(数据录入!$B30="","",IF(ROW()=2,0,N(G29)))</f>
        <v/>
      </c>
      <c r="G30" t="str">
        <f>IF(数据录入!$B30="","",F30+数据录入!$B30)</f>
        <v/>
      </c>
      <c r="H30" t="str">
        <f>IF(数据录入!$B30="","",C30+IF(数据录入!$C30="",0,数据录入!$C30))</f>
        <v/>
      </c>
      <c r="I30" t="str">
        <f>IF(数据录入!$B30="","",H30-1)</f>
        <v/>
      </c>
      <c r="J30" t="str">
        <f>IF(OR(数据录入!$B30="",H30=0),"",ROUND(数据录入!$B30*100/H30,1))</f>
        <v/>
      </c>
    </row>
    <row r="31" ht="18.00" customHeight="true">
      <c r="A31" t="str">
        <f>IF(数据录入!$B31="","",IF(数据录入!$A31=""," ",数据录入!$A31))</f>
        <v/>
      </c>
      <c r="B31" t="str">
        <f>IF(数据录入!$B31="","",数据录入!$B31)</f>
        <v/>
      </c>
      <c r="C31" t="str">
        <f>IF(数据录入!$B31="","",COUNT(数据录入!$D31:$AG31))</f>
        <v/>
      </c>
      <c r="D31" t="str">
        <f>IF(数据录入!$B31="","",SUM(数据录入!$D31:$AG31))</f>
        <v/>
      </c>
      <c r="E31" t="str">
        <f>IF(OR(数据录入!$B31="",数据录入!$B31=0),"",ROUND(D31/(数据录入!$B31*100)*100,1))</f>
        <v/>
      </c>
      <c r="F31" t="str">
        <f>IF(数据录入!$B31="","",IF(ROW()=2,0,N(G30)))</f>
        <v/>
      </c>
      <c r="G31" t="str">
        <f>IF(数据录入!$B31="","",F31+数据录入!$B31)</f>
        <v/>
      </c>
      <c r="H31" t="str">
        <f>IF(数据录入!$B31="","",C31+IF(数据录入!$C31="",0,数据录入!$C31))</f>
        <v/>
      </c>
      <c r="I31" t="str">
        <f>IF(数据录入!$B31="","",H31-1)</f>
        <v/>
      </c>
      <c r="J31" t="str">
        <f>IF(OR(数据录入!$B31="",H31=0),"",ROUND(数据录入!$B31*100/H31,1))</f>
        <v/>
      </c>
    </row>
    <row r="32" ht="18.00" customHeight="true">
      <c r="A32" t="str">
        <f>IF(数据录入!$B32="","",IF(数据录入!$A32=""," ",数据录入!$A32))</f>
        <v/>
      </c>
      <c r="B32" t="str">
        <f>IF(数据录入!$B32="","",数据录入!$B32)</f>
        <v/>
      </c>
      <c r="C32" t="str">
        <f>IF(数据录入!$B32="","",COUNT(数据录入!$D32:$AG32))</f>
        <v/>
      </c>
      <c r="D32" t="str">
        <f>IF(数据录入!$B32="","",SUM(数据录入!$D32:$AG32))</f>
        <v/>
      </c>
      <c r="E32" t="str">
        <f>IF(OR(数据录入!$B32="",数据录入!$B32=0),"",ROUND(D32/(数据录入!$B32*100)*100,1))</f>
        <v/>
      </c>
      <c r="F32" t="str">
        <f>IF(数据录入!$B32="","",IF(ROW()=2,0,N(G31)))</f>
        <v/>
      </c>
      <c r="G32" t="str">
        <f>IF(数据录入!$B32="","",F32+数据录入!$B32)</f>
        <v/>
      </c>
      <c r="H32" t="str">
        <f>IF(数据录入!$B32="","",C32+IF(数据录入!$C32="",0,数据录入!$C32))</f>
        <v/>
      </c>
      <c r="I32" t="str">
        <f>IF(数据录入!$B32="","",H32-1)</f>
        <v/>
      </c>
      <c r="J32" t="str">
        <f>IF(OR(数据录入!$B32="",H32=0),"",ROUND(数据录入!$B32*100/H32,1))</f>
        <v/>
      </c>
    </row>
    <row r="33" ht="18.00" customHeight="true">
      <c r="A33" t="str">
        <f>IF(数据录入!$B33="","",IF(数据录入!$A33=""," ",数据录入!$A33))</f>
        <v/>
      </c>
      <c r="B33" t="str">
        <f>IF(数据录入!$B33="","",数据录入!$B33)</f>
        <v/>
      </c>
      <c r="C33" t="str">
        <f>IF(数据录入!$B33="","",COUNT(数据录入!$D33:$AG33))</f>
        <v/>
      </c>
      <c r="D33" t="str">
        <f>IF(数据录入!$B33="","",SUM(数据录入!$D33:$AG33))</f>
        <v/>
      </c>
      <c r="E33" t="str">
        <f>IF(OR(数据录入!$B33="",数据录入!$B33=0),"",ROUND(D33/(数据录入!$B33*100)*100,1))</f>
        <v/>
      </c>
      <c r="F33" t="str">
        <f>IF(数据录入!$B33="","",IF(ROW()=2,0,N(G32)))</f>
        <v/>
      </c>
      <c r="G33" t="str">
        <f>IF(数据录入!$B33="","",F33+数据录入!$B33)</f>
        <v/>
      </c>
      <c r="H33" t="str">
        <f>IF(数据录入!$B33="","",C33+IF(数据录入!$C33="",0,数据录入!$C33))</f>
        <v/>
      </c>
      <c r="I33" t="str">
        <f>IF(数据录入!$B33="","",H33-1)</f>
        <v/>
      </c>
      <c r="J33" t="str">
        <f>IF(OR(数据录入!$B33="",H33=0),"",ROUND(数据录入!$B33*100/H33,1))</f>
        <v/>
      </c>
    </row>
    <row r="34" ht="18.00" customHeight="true">
      <c r="A34" t="str">
        <f>IF(数据录入!$B34="","",IF(数据录入!$A34=""," ",数据录入!$A34))</f>
        <v/>
      </c>
      <c r="B34" t="str">
        <f>IF(数据录入!$B34="","",数据录入!$B34)</f>
        <v/>
      </c>
      <c r="C34" t="str">
        <f>IF(数据录入!$B34="","",COUNT(数据录入!$D34:$AG34))</f>
        <v/>
      </c>
      <c r="D34" t="str">
        <f>IF(数据录入!$B34="","",SUM(数据录入!$D34:$AG34))</f>
        <v/>
      </c>
      <c r="E34" t="str">
        <f>IF(OR(数据录入!$B34="",数据录入!$B34=0),"",ROUND(D34/(数据录入!$B34*100)*100,1))</f>
        <v/>
      </c>
      <c r="F34" t="str">
        <f>IF(数据录入!$B34="","",IF(ROW()=2,0,N(G33)))</f>
        <v/>
      </c>
      <c r="G34" t="str">
        <f>IF(数据录入!$B34="","",F34+数据录入!$B34)</f>
        <v/>
      </c>
      <c r="H34" t="str">
        <f>IF(数据录入!$B34="","",C34+IF(数据录入!$C34="",0,数据录入!$C34))</f>
        <v/>
      </c>
      <c r="I34" t="str">
        <f>IF(数据录入!$B34="","",H34-1)</f>
        <v/>
      </c>
      <c r="J34" t="str">
        <f>IF(OR(数据录入!$B34="",H34=0),"",ROUND(数据录入!$B34*100/H34,1))</f>
        <v/>
      </c>
    </row>
    <row r="35" ht="18.00" customHeight="true">
      <c r="A35" t="str">
        <f>IF(数据录入!$B35="","",IF(数据录入!$A35=""," ",数据录入!$A35))</f>
        <v/>
      </c>
      <c r="B35" t="str">
        <f>IF(数据录入!$B35="","",数据录入!$B35)</f>
        <v/>
      </c>
      <c r="C35" t="str">
        <f>IF(数据录入!$B35="","",COUNT(数据录入!$D35:$AG35))</f>
        <v/>
      </c>
      <c r="D35" t="str">
        <f>IF(数据录入!$B35="","",SUM(数据录入!$D35:$AG35))</f>
        <v/>
      </c>
      <c r="E35" t="str">
        <f>IF(OR(数据录入!$B35="",数据录入!$B35=0),"",ROUND(D35/(数据录入!$B35*100)*100,1))</f>
        <v/>
      </c>
      <c r="F35" t="str">
        <f>IF(数据录入!$B35="","",IF(ROW()=2,0,N(G34)))</f>
        <v/>
      </c>
      <c r="G35" t="str">
        <f>IF(数据录入!$B35="","",F35+数据录入!$B35)</f>
        <v/>
      </c>
      <c r="H35" t="str">
        <f>IF(数据录入!$B35="","",C35+IF(数据录入!$C35="",0,数据录入!$C35))</f>
        <v/>
      </c>
      <c r="I35" t="str">
        <f>IF(数据录入!$B35="","",H35-1)</f>
        <v/>
      </c>
      <c r="J35" t="str">
        <f>IF(OR(数据录入!$B35="",H35=0),"",ROUND(数据录入!$B35*100/H35,1))</f>
        <v/>
      </c>
    </row>
    <row r="36" ht="18.00" customHeight="true">
      <c r="A36" t="str">
        <f>IF(数据录入!$B36="","",IF(数据录入!$A36=""," ",数据录入!$A36))</f>
        <v/>
      </c>
      <c r="B36" t="str">
        <f>IF(数据录入!$B36="","",数据录入!$B36)</f>
        <v/>
      </c>
      <c r="C36" t="str">
        <f>IF(数据录入!$B36="","",COUNT(数据录入!$D36:$AG36))</f>
        <v/>
      </c>
      <c r="D36" t="str">
        <f>IF(数据录入!$B36="","",SUM(数据录入!$D36:$AG36))</f>
        <v/>
      </c>
      <c r="E36" t="str">
        <f>IF(OR(数据录入!$B36="",数据录入!$B36=0),"",ROUND(D36/(数据录入!$B36*100)*100,1))</f>
        <v/>
      </c>
      <c r="F36" t="str">
        <f>IF(数据录入!$B36="","",IF(ROW()=2,0,N(G35)))</f>
        <v/>
      </c>
      <c r="G36" t="str">
        <f>IF(数据录入!$B36="","",F36+数据录入!$B36)</f>
        <v/>
      </c>
      <c r="H36" t="str">
        <f>IF(数据录入!$B36="","",C36+IF(数据录入!$C36="",0,数据录入!$C36))</f>
        <v/>
      </c>
      <c r="I36" t="str">
        <f>IF(数据录入!$B36="","",H36-1)</f>
        <v/>
      </c>
      <c r="J36" t="str">
        <f>IF(OR(数据录入!$B36="",H36=0),"",ROUND(数据录入!$B36*100/H36,1))</f>
        <v/>
      </c>
    </row>
    <row r="37" ht="18.00" customHeight="true">
      <c r="A37" t="str">
        <f>IF(数据录入!$B37="","",IF(数据录入!$A37=""," ",数据录入!$A37))</f>
        <v/>
      </c>
      <c r="B37" t="str">
        <f>IF(数据录入!$B37="","",数据录入!$B37)</f>
        <v/>
      </c>
      <c r="C37" t="str">
        <f>IF(数据录入!$B37="","",COUNT(数据录入!$D37:$AG37))</f>
        <v/>
      </c>
      <c r="D37" t="str">
        <f>IF(数据录入!$B37="","",SUM(数据录入!$D37:$AG37))</f>
        <v/>
      </c>
      <c r="E37" t="str">
        <f>IF(OR(数据录入!$B37="",数据录入!$B37=0),"",ROUND(D37/(数据录入!$B37*100)*100,1))</f>
        <v/>
      </c>
      <c r="F37" t="str">
        <f>IF(数据录入!$B37="","",IF(ROW()=2,0,N(G36)))</f>
        <v/>
      </c>
      <c r="G37" t="str">
        <f>IF(数据录入!$B37="","",F37+数据录入!$B37)</f>
        <v/>
      </c>
      <c r="H37" t="str">
        <f>IF(数据录入!$B37="","",C37+IF(数据录入!$C37="",0,数据录入!$C37))</f>
        <v/>
      </c>
      <c r="I37" t="str">
        <f>IF(数据录入!$B37="","",H37-1)</f>
        <v/>
      </c>
      <c r="J37" t="str">
        <f>IF(OR(数据录入!$B37="",H37=0),"",ROUND(数据录入!$B37*100/H37,1))</f>
        <v/>
      </c>
    </row>
    <row r="38" ht="18.00" customHeight="true">
      <c r="A38" t="str">
        <f>IF(数据录入!$B38="","",IF(数据录入!$A38=""," ",数据录入!$A38))</f>
        <v/>
      </c>
      <c r="B38" t="str">
        <f>IF(数据录入!$B38="","",数据录入!$B38)</f>
        <v/>
      </c>
      <c r="C38" t="str">
        <f>IF(数据录入!$B38="","",COUNT(数据录入!$D38:$AG38))</f>
        <v/>
      </c>
      <c r="D38" t="str">
        <f>IF(数据录入!$B38="","",SUM(数据录入!$D38:$AG38))</f>
        <v/>
      </c>
      <c r="E38" t="str">
        <f>IF(OR(数据录入!$B38="",数据录入!$B38=0),"",ROUND(D38/(数据录入!$B38*100)*100,1))</f>
        <v/>
      </c>
      <c r="F38" t="str">
        <f>IF(数据录入!$B38="","",IF(ROW()=2,0,N(G37)))</f>
        <v/>
      </c>
      <c r="G38" t="str">
        <f>IF(数据录入!$B38="","",F38+数据录入!$B38)</f>
        <v/>
      </c>
      <c r="H38" t="str">
        <f>IF(数据录入!$B38="","",C38+IF(数据录入!$C38="",0,数据录入!$C38))</f>
        <v/>
      </c>
      <c r="I38" t="str">
        <f>IF(数据录入!$B38="","",H38-1)</f>
        <v/>
      </c>
      <c r="J38" t="str">
        <f>IF(OR(数据录入!$B38="",H38=0),"",ROUND(数据录入!$B38*100/H38,1))</f>
        <v/>
      </c>
    </row>
    <row r="39" ht="18.00" customHeight="true">
      <c r="A39" t="str">
        <f>IF(数据录入!$B39="","",IF(数据录入!$A39=""," ",数据录入!$A39))</f>
        <v/>
      </c>
      <c r="B39" t="str">
        <f>IF(数据录入!$B39="","",数据录入!$B39)</f>
        <v/>
      </c>
      <c r="C39" t="str">
        <f>IF(数据录入!$B39="","",COUNT(数据录入!$D39:$AG39))</f>
        <v/>
      </c>
      <c r="D39" t="str">
        <f>IF(数据录入!$B39="","",SUM(数据录入!$D39:$AG39))</f>
        <v/>
      </c>
      <c r="E39" t="str">
        <f>IF(OR(数据录入!$B39="",数据录入!$B39=0),"",ROUND(D39/(数据录入!$B39*100)*100,1))</f>
        <v/>
      </c>
      <c r="F39" t="str">
        <f>IF(数据录入!$B39="","",IF(ROW()=2,0,N(G38)))</f>
        <v/>
      </c>
      <c r="G39" t="str">
        <f>IF(数据录入!$B39="","",F39+数据录入!$B39)</f>
        <v/>
      </c>
      <c r="H39" t="str">
        <f>IF(数据录入!$B39="","",C39+IF(数据录入!$C39="",0,数据录入!$C39))</f>
        <v/>
      </c>
      <c r="I39" t="str">
        <f>IF(数据录入!$B39="","",H39-1)</f>
        <v/>
      </c>
      <c r="J39" t="str">
        <f>IF(OR(数据录入!$B39="",H39=0),"",ROUND(数据录入!$B39*100/H39,1))</f>
        <v/>
      </c>
    </row>
    <row r="40" ht="18.00" customHeight="true">
      <c r="A40" t="str">
        <f>IF(数据录入!$B40="","",IF(数据录入!$A40=""," ",数据录入!$A40))</f>
        <v/>
      </c>
      <c r="B40" t="str">
        <f>IF(数据录入!$B40="","",数据录入!$B40)</f>
        <v/>
      </c>
      <c r="C40" t="str">
        <f>IF(数据录入!$B40="","",COUNT(数据录入!$D40:$AG40))</f>
        <v/>
      </c>
      <c r="D40" t="str">
        <f>IF(数据录入!$B40="","",SUM(数据录入!$D40:$AG40))</f>
        <v/>
      </c>
      <c r="E40" t="str">
        <f>IF(OR(数据录入!$B40="",数据录入!$B40=0),"",ROUND(D40/(数据录入!$B40*100)*100,1))</f>
        <v/>
      </c>
      <c r="F40" t="str">
        <f>IF(数据录入!$B40="","",IF(ROW()=2,0,N(G39)))</f>
        <v/>
      </c>
      <c r="G40" t="str">
        <f>IF(数据录入!$B40="","",F40+数据录入!$B40)</f>
        <v/>
      </c>
      <c r="H40" t="str">
        <f>IF(数据录入!$B40="","",C40+IF(数据录入!$C40="",0,数据录入!$C40))</f>
        <v/>
      </c>
      <c r="I40" t="str">
        <f>IF(数据录入!$B40="","",H40-1)</f>
        <v/>
      </c>
      <c r="J40" t="str">
        <f>IF(OR(数据录入!$B40="",H40=0),"",ROUND(数据录入!$B40*100/H40,1))</f>
        <v/>
      </c>
    </row>
    <row r="41" ht="18.00" customHeight="true">
      <c r="A41" t="str">
        <f>IF(数据录入!$B41="","",IF(数据录入!$A41=""," ",数据录入!$A41))</f>
        <v/>
      </c>
      <c r="B41" t="str">
        <f>IF(数据录入!$B41="","",数据录入!$B41)</f>
        <v/>
      </c>
      <c r="C41" t="str">
        <f>IF(数据录入!$B41="","",COUNT(数据录入!$D41:$AG41))</f>
        <v/>
      </c>
      <c r="D41" t="str">
        <f>IF(数据录入!$B41="","",SUM(数据录入!$D41:$AG41))</f>
        <v/>
      </c>
      <c r="E41" t="str">
        <f>IF(OR(数据录入!$B41="",数据录入!$B41=0),"",ROUND(D41/(数据录入!$B41*100)*100,1))</f>
        <v/>
      </c>
      <c r="F41" t="str">
        <f>IF(数据录入!$B41="","",IF(ROW()=2,0,N(G40)))</f>
        <v/>
      </c>
      <c r="G41" t="str">
        <f>IF(数据录入!$B41="","",F41+数据录入!$B41)</f>
        <v/>
      </c>
      <c r="H41" t="str">
        <f>IF(数据录入!$B41="","",C41+IF(数据录入!$C41="",0,数据录入!$C41))</f>
        <v/>
      </c>
      <c r="I41" t="str">
        <f>IF(数据录入!$B41="","",H41-1)</f>
        <v/>
      </c>
      <c r="J41" t="str">
        <f>IF(OR(数据录入!$B41="",H41=0),"",ROUND(数据录入!$B41*100/H41,1))</f>
        <v/>
      </c>
    </row>
    <row r="42" ht="18.00" customHeight="true">
      <c r="A42" t="str">
        <f>IF(数据录入!$B42="","",IF(数据录入!$A42=""," ",数据录入!$A42))</f>
        <v/>
      </c>
      <c r="B42" t="str">
        <f>IF(数据录入!$B42="","",数据录入!$B42)</f>
        <v/>
      </c>
      <c r="C42" t="str">
        <f>IF(数据录入!$B42="","",COUNT(数据录入!$D42:$AG42))</f>
        <v/>
      </c>
      <c r="D42" t="str">
        <f>IF(数据录入!$B42="","",SUM(数据录入!$D42:$AG42))</f>
        <v/>
      </c>
      <c r="E42" t="str">
        <f>IF(OR(数据录入!$B42="",数据录入!$B42=0),"",ROUND(D42/(数据录入!$B42*100)*100,1))</f>
        <v/>
      </c>
      <c r="F42" t="str">
        <f>IF(数据录入!$B42="","",IF(ROW()=2,0,N(G41)))</f>
        <v/>
      </c>
      <c r="G42" t="str">
        <f>IF(数据录入!$B42="","",F42+数据录入!$B42)</f>
        <v/>
      </c>
      <c r="H42" t="str">
        <f>IF(数据录入!$B42="","",C42+IF(数据录入!$C42="",0,数据录入!$C42))</f>
        <v/>
      </c>
      <c r="I42" t="str">
        <f>IF(数据录入!$B42="","",H42-1)</f>
        <v/>
      </c>
      <c r="J42" t="str">
        <f>IF(OR(数据录入!$B42="",H42=0),"",ROUND(数据录入!$B42*100/H42,1))</f>
        <v/>
      </c>
    </row>
    <row r="43" ht="18.00" customHeight="true">
      <c r="A43" t="str">
        <f>IF(数据录入!$B43="","",IF(数据录入!$A43=""," ",数据录入!$A43))</f>
        <v/>
      </c>
      <c r="B43" t="str">
        <f>IF(数据录入!$B43="","",数据录入!$B43)</f>
        <v/>
      </c>
      <c r="C43" t="str">
        <f>IF(数据录入!$B43="","",COUNT(数据录入!$D43:$AG43))</f>
        <v/>
      </c>
      <c r="D43" t="str">
        <f>IF(数据录入!$B43="","",SUM(数据录入!$D43:$AG43))</f>
        <v/>
      </c>
      <c r="E43" t="str">
        <f>IF(OR(数据录入!$B43="",数据录入!$B43=0),"",ROUND(D43/(数据录入!$B43*100)*100,1))</f>
        <v/>
      </c>
      <c r="F43" t="str">
        <f>IF(数据录入!$B43="","",IF(ROW()=2,0,N(G42)))</f>
        <v/>
      </c>
      <c r="G43" t="str">
        <f>IF(数据录入!$B43="","",F43+数据录入!$B43)</f>
        <v/>
      </c>
      <c r="H43" t="str">
        <f>IF(数据录入!$B43="","",C43+IF(数据录入!$C43="",0,数据录入!$C43))</f>
        <v/>
      </c>
      <c r="I43" t="str">
        <f>IF(数据录入!$B43="","",H43-1)</f>
        <v/>
      </c>
      <c r="J43" t="str">
        <f>IF(OR(数据录入!$B43="",H43=0),"",ROUND(数据录入!$B43*100/H43,1))</f>
        <v/>
      </c>
    </row>
    <row r="44" ht="18.00" customHeight="true">
      <c r="A44" t="str">
        <f>IF(数据录入!$B44="","",IF(数据录入!$A44=""," ",数据录入!$A44))</f>
        <v/>
      </c>
      <c r="B44" t="str">
        <f>IF(数据录入!$B44="","",数据录入!$B44)</f>
        <v/>
      </c>
      <c r="C44" t="str">
        <f>IF(数据录入!$B44="","",COUNT(数据录入!$D44:$AG44))</f>
        <v/>
      </c>
      <c r="D44" t="str">
        <f>IF(数据录入!$B44="","",SUM(数据录入!$D44:$AG44))</f>
        <v/>
      </c>
      <c r="E44" t="str">
        <f>IF(OR(数据录入!$B44="",数据录入!$B44=0),"",ROUND(D44/(数据录入!$B44*100)*100,1))</f>
        <v/>
      </c>
      <c r="F44" t="str">
        <f>IF(数据录入!$B44="","",IF(ROW()=2,0,N(G43)))</f>
        <v/>
      </c>
      <c r="G44" t="str">
        <f>IF(数据录入!$B44="","",F44+数据录入!$B44)</f>
        <v/>
      </c>
      <c r="H44" t="str">
        <f>IF(数据录入!$B44="","",C44+IF(数据录入!$C44="",0,数据录入!$C44))</f>
        <v/>
      </c>
      <c r="I44" t="str">
        <f>IF(数据录入!$B44="","",H44-1)</f>
        <v/>
      </c>
      <c r="J44" t="str">
        <f>IF(OR(数据录入!$B44="",H44=0),"",ROUND(数据录入!$B44*100/H44,1))</f>
        <v/>
      </c>
    </row>
    <row r="45" ht="18.00" customHeight="true">
      <c r="A45" t="str">
        <f>IF(数据录入!$B45="","",IF(数据录入!$A45=""," ",数据录入!$A45))</f>
        <v/>
      </c>
      <c r="B45" t="str">
        <f>IF(数据录入!$B45="","",数据录入!$B45)</f>
        <v/>
      </c>
      <c r="C45" t="str">
        <f>IF(数据录入!$B45="","",COUNT(数据录入!$D45:$AG45))</f>
        <v/>
      </c>
      <c r="D45" t="str">
        <f>IF(数据录入!$B45="","",SUM(数据录入!$D45:$AG45))</f>
        <v/>
      </c>
      <c r="E45" t="str">
        <f>IF(OR(数据录入!$B45="",数据录入!$B45=0),"",ROUND(D45/(数据录入!$B45*100)*100,1))</f>
        <v/>
      </c>
      <c r="F45" t="str">
        <f>IF(数据录入!$B45="","",IF(ROW()=2,0,N(G44)))</f>
        <v/>
      </c>
      <c r="G45" t="str">
        <f>IF(数据录入!$B45="","",F45+数据录入!$B45)</f>
        <v/>
      </c>
      <c r="H45" t="str">
        <f>IF(数据录入!$B45="","",C45+IF(数据录入!$C45="",0,数据录入!$C45))</f>
        <v/>
      </c>
      <c r="I45" t="str">
        <f>IF(数据录入!$B45="","",H45-1)</f>
        <v/>
      </c>
      <c r="J45" t="str">
        <f>IF(OR(数据录入!$B45="",H45=0),"",ROUND(数据录入!$B45*100/H45,1))</f>
        <v/>
      </c>
    </row>
    <row r="46" ht="18.00" customHeight="true">
      <c r="A46" t="str">
        <f>IF(数据录入!$B46="","",IF(数据录入!$A46=""," ",数据录入!$A46))</f>
        <v/>
      </c>
      <c r="B46" t="str">
        <f>IF(数据录入!$B46="","",数据录入!$B46)</f>
        <v/>
      </c>
      <c r="C46" t="str">
        <f>IF(数据录入!$B46="","",COUNT(数据录入!$D46:$AG46))</f>
        <v/>
      </c>
      <c r="D46" t="str">
        <f>IF(数据录入!$B46="","",SUM(数据录入!$D46:$AG46))</f>
        <v/>
      </c>
      <c r="E46" t="str">
        <f>IF(OR(数据录入!$B46="",数据录入!$B46=0),"",ROUND(D46/(数据录入!$B46*100)*100,1))</f>
        <v/>
      </c>
      <c r="F46" t="str">
        <f>IF(数据录入!$B46="","",IF(ROW()=2,0,N(G45)))</f>
        <v/>
      </c>
      <c r="G46" t="str">
        <f>IF(数据录入!$B46="","",F46+数据录入!$B46)</f>
        <v/>
      </c>
      <c r="H46" t="str">
        <f>IF(数据录入!$B46="","",C46+IF(数据录入!$C46="",0,数据录入!$C46))</f>
        <v/>
      </c>
      <c r="I46" t="str">
        <f>IF(数据录入!$B46="","",H46-1)</f>
        <v/>
      </c>
      <c r="J46" t="str">
        <f>IF(OR(数据录入!$B46="",H46=0),"",ROUND(数据录入!$B46*100/H46,1))</f>
        <v/>
      </c>
    </row>
    <row r="47" ht="18.00" customHeight="true">
      <c r="A47" t="str">
        <f>IF(数据录入!$B47="","",IF(数据录入!$A47=""," ",数据录入!$A47))</f>
        <v/>
      </c>
      <c r="B47" t="str">
        <f>IF(数据录入!$B47="","",数据录入!$B47)</f>
        <v/>
      </c>
      <c r="C47" t="str">
        <f>IF(数据录入!$B47="","",COUNT(数据录入!$D47:$AG47))</f>
        <v/>
      </c>
      <c r="D47" t="str">
        <f>IF(数据录入!$B47="","",SUM(数据录入!$D47:$AG47))</f>
        <v/>
      </c>
      <c r="E47" t="str">
        <f>IF(OR(数据录入!$B47="",数据录入!$B47=0),"",ROUND(D47/(数据录入!$B47*100)*100,1))</f>
        <v/>
      </c>
      <c r="F47" t="str">
        <f>IF(数据录入!$B47="","",IF(ROW()=2,0,N(G46)))</f>
        <v/>
      </c>
      <c r="G47" t="str">
        <f>IF(数据录入!$B47="","",F47+数据录入!$B47)</f>
        <v/>
      </c>
      <c r="H47" t="str">
        <f>IF(数据录入!$B47="","",C47+IF(数据录入!$C47="",0,数据录入!$C47))</f>
        <v/>
      </c>
      <c r="I47" t="str">
        <f>IF(数据录入!$B47="","",H47-1)</f>
        <v/>
      </c>
      <c r="J47" t="str">
        <f>IF(OR(数据录入!$B47="",H47=0),"",ROUND(数据录入!$B47*100/H47,1))</f>
        <v/>
      </c>
    </row>
    <row r="48" ht="18.00" customHeight="true">
      <c r="A48" t="str">
        <f>IF(数据录入!$B48="","",IF(数据录入!$A48=""," ",数据录入!$A48))</f>
        <v/>
      </c>
      <c r="B48" t="str">
        <f>IF(数据录入!$B48="","",数据录入!$B48)</f>
        <v/>
      </c>
      <c r="C48" t="str">
        <f>IF(数据录入!$B48="","",COUNT(数据录入!$D48:$AG48))</f>
        <v/>
      </c>
      <c r="D48" t="str">
        <f>IF(数据录入!$B48="","",SUM(数据录入!$D48:$AG48))</f>
        <v/>
      </c>
      <c r="E48" t="str">
        <f>IF(OR(数据录入!$B48="",数据录入!$B48=0),"",ROUND(D48/(数据录入!$B48*100)*100,1))</f>
        <v/>
      </c>
      <c r="F48" t="str">
        <f>IF(数据录入!$B48="","",IF(ROW()=2,0,N(G47)))</f>
        <v/>
      </c>
      <c r="G48" t="str">
        <f>IF(数据录入!$B48="","",F48+数据录入!$B48)</f>
        <v/>
      </c>
      <c r="H48" t="str">
        <f>IF(数据录入!$B48="","",C48+IF(数据录入!$C48="",0,数据录入!$C48))</f>
        <v/>
      </c>
      <c r="I48" t="str">
        <f>IF(数据录入!$B48="","",H48-1)</f>
        <v/>
      </c>
      <c r="J48" t="str">
        <f>IF(OR(数据录入!$B48="",H48=0),"",ROUND(数据录入!$B48*100/H48,1))</f>
        <v/>
      </c>
    </row>
    <row r="49" ht="18.00" customHeight="true">
      <c r="A49" t="str">
        <f>IF(数据录入!$B49="","",IF(数据录入!$A49=""," ",数据录入!$A49))</f>
        <v/>
      </c>
      <c r="B49" t="str">
        <f>IF(数据录入!$B49="","",数据录入!$B49)</f>
        <v/>
      </c>
      <c r="C49" t="str">
        <f>IF(数据录入!$B49="","",COUNT(数据录入!$D49:$AG49))</f>
        <v/>
      </c>
      <c r="D49" t="str">
        <f>IF(数据录入!$B49="","",SUM(数据录入!$D49:$AG49))</f>
        <v/>
      </c>
      <c r="E49" t="str">
        <f>IF(OR(数据录入!$B49="",数据录入!$B49=0),"",ROUND(D49/(数据录入!$B49*100)*100,1))</f>
        <v/>
      </c>
      <c r="F49" t="str">
        <f>IF(数据录入!$B49="","",IF(ROW()=2,0,N(G48)))</f>
        <v/>
      </c>
      <c r="G49" t="str">
        <f>IF(数据录入!$B49="","",F49+数据录入!$B49)</f>
        <v/>
      </c>
      <c r="H49" t="str">
        <f>IF(数据录入!$B49="","",C49+IF(数据录入!$C49="",0,数据录入!$C49))</f>
        <v/>
      </c>
      <c r="I49" t="str">
        <f>IF(数据录入!$B49="","",H49-1)</f>
        <v/>
      </c>
      <c r="J49" t="str">
        <f>IF(OR(数据录入!$B49="",H49=0),"",ROUND(数据录入!$B49*100/H49,1))</f>
        <v/>
      </c>
    </row>
    <row r="50" ht="18.00" customHeight="true">
      <c r="A50" t="str">
        <f>IF(数据录入!$B50="","",IF(数据录入!$A50=""," ",数据录入!$A50))</f>
        <v/>
      </c>
      <c r="B50" t="str">
        <f>IF(数据录入!$B50="","",数据录入!$B50)</f>
        <v/>
      </c>
      <c r="C50" t="str">
        <f>IF(数据录入!$B50="","",COUNT(数据录入!$D50:$AG50))</f>
        <v/>
      </c>
      <c r="D50" t="str">
        <f>IF(数据录入!$B50="","",SUM(数据录入!$D50:$AG50))</f>
        <v/>
      </c>
      <c r="E50" t="str">
        <f>IF(OR(数据录入!$B50="",数据录入!$B50=0),"",ROUND(D50/(数据录入!$B50*100)*100,1))</f>
        <v/>
      </c>
      <c r="F50" t="str">
        <f>IF(数据录入!$B50="","",IF(ROW()=2,0,N(G49)))</f>
        <v/>
      </c>
      <c r="G50" t="str">
        <f>IF(数据录入!$B50="","",F50+数据录入!$B50)</f>
        <v/>
      </c>
      <c r="H50" t="str">
        <f>IF(数据录入!$B50="","",C50+IF(数据录入!$C50="",0,数据录入!$C50))</f>
        <v/>
      </c>
      <c r="I50" t="str">
        <f>IF(数据录入!$B50="","",H50-1)</f>
        <v/>
      </c>
      <c r="J50" t="str">
        <f>IF(OR(数据录入!$B50="",H50=0),"",ROUND(数据录入!$B50*100/H50,1))</f>
        <v/>
      </c>
    </row>
    <row r="51" ht="18.00" customHeight="true">
      <c r="A51" t="str">
        <f>IF(数据录入!$B51="","",IF(数据录入!$A51=""," ",数据录入!$A51))</f>
        <v/>
      </c>
      <c r="B51" t="str">
        <f>IF(数据录入!$B51="","",数据录入!$B51)</f>
        <v/>
      </c>
      <c r="C51" t="str">
        <f>IF(数据录入!$B51="","",COUNT(数据录入!$D51:$AG51))</f>
        <v/>
      </c>
      <c r="D51" t="str">
        <f>IF(数据录入!$B51="","",SUM(数据录入!$D51:$AG51))</f>
        <v/>
      </c>
      <c r="E51" t="str">
        <f>IF(OR(数据录入!$B51="",数据录入!$B51=0),"",ROUND(D51/(数据录入!$B51*100)*100,1))</f>
        <v/>
      </c>
      <c r="F51" t="str">
        <f>IF(数据录入!$B51="","",IF(ROW()=2,0,N(G50)))</f>
        <v/>
      </c>
      <c r="G51" t="str">
        <f>IF(数据录入!$B51="","",F51+数据录入!$B51)</f>
        <v/>
      </c>
      <c r="H51" t="str">
        <f>IF(数据录入!$B51="","",C51+IF(数据录入!$C51="",0,数据录入!$C51))</f>
        <v/>
      </c>
      <c r="I51" t="str">
        <f>IF(数据录入!$B51="","",H51-1)</f>
        <v/>
      </c>
      <c r="J51" t="str">
        <f>IF(OR(数据录入!$B51="",H51=0),"",ROUND(数据录入!$B51*100/H51,1))</f>
        <v/>
      </c>
    </row>
    <row r="52" ht="18.00" customHeight="true">
      <c r="A52" t="str">
        <f>IF(数据录入!$B52="","",IF(数据录入!$A52=""," ",数据录入!$A52))</f>
        <v/>
      </c>
      <c r="B52" t="str">
        <f>IF(数据录入!$B52="","",数据录入!$B52)</f>
        <v/>
      </c>
      <c r="C52" t="str">
        <f>IF(数据录入!$B52="","",COUNT(数据录入!$D52:$AG52))</f>
        <v/>
      </c>
      <c r="D52" t="str">
        <f>IF(数据录入!$B52="","",SUM(数据录入!$D52:$AG52))</f>
        <v/>
      </c>
      <c r="E52" t="str">
        <f>IF(OR(数据录入!$B52="",数据录入!$B52=0),"",ROUND(D52/(数据录入!$B52*100)*100,1))</f>
        <v/>
      </c>
      <c r="F52" t="str">
        <f>IF(数据录入!$B52="","",IF(ROW()=2,0,N(G51)))</f>
        <v/>
      </c>
      <c r="G52" t="str">
        <f>IF(数据录入!$B52="","",F52+数据录入!$B52)</f>
        <v/>
      </c>
      <c r="H52" t="str">
        <f>IF(数据录入!$B52="","",C52+IF(数据录入!$C52="",0,数据录入!$C52))</f>
        <v/>
      </c>
      <c r="I52" t="str">
        <f>IF(数据录入!$B52="","",H52-1)</f>
        <v/>
      </c>
      <c r="J52" t="str">
        <f>IF(OR(数据录入!$B52="",H52=0),"",ROUND(数据录入!$B52*100/H52,1))</f>
        <v/>
      </c>
    </row>
    <row r="53" ht="18.00" customHeight="true">
      <c r="A53" t="str">
        <f>IF(数据录入!$B53="","",IF(数据录入!$A53=""," ",数据录入!$A53))</f>
        <v/>
      </c>
      <c r="B53" t="str">
        <f>IF(数据录入!$B53="","",数据录入!$B53)</f>
        <v/>
      </c>
      <c r="C53" t="str">
        <f>IF(数据录入!$B53="","",COUNT(数据录入!$D53:$AG53))</f>
        <v/>
      </c>
      <c r="D53" t="str">
        <f>IF(数据录入!$B53="","",SUM(数据录入!$D53:$AG53))</f>
        <v/>
      </c>
      <c r="E53" t="str">
        <f>IF(OR(数据录入!$B53="",数据录入!$B53=0),"",ROUND(D53/(数据录入!$B53*100)*100,1))</f>
        <v/>
      </c>
      <c r="F53" t="str">
        <f>IF(数据录入!$B53="","",IF(ROW()=2,0,N(G52)))</f>
        <v/>
      </c>
      <c r="G53" t="str">
        <f>IF(数据录入!$B53="","",F53+数据录入!$B53)</f>
        <v/>
      </c>
      <c r="H53" t="str">
        <f>IF(数据录入!$B53="","",C53+IF(数据录入!$C53="",0,数据录入!$C53))</f>
        <v/>
      </c>
      <c r="I53" t="str">
        <f>IF(数据录入!$B53="","",H53-1)</f>
        <v/>
      </c>
      <c r="J53" t="str">
        <f>IF(OR(数据录入!$B53="",H53=0),"",ROUND(数据录入!$B53*100/H53,1))</f>
        <v/>
      </c>
    </row>
    <row r="54" ht="18.00" customHeight="true">
      <c r="A54" t="str">
        <f>IF(数据录入!$B54="","",IF(数据录入!$A54=""," ",数据录入!$A54))</f>
        <v/>
      </c>
      <c r="B54" t="str">
        <f>IF(数据录入!$B54="","",数据录入!$B54)</f>
        <v/>
      </c>
      <c r="C54" t="str">
        <f>IF(数据录入!$B54="","",COUNT(数据录入!$D54:$AG54))</f>
        <v/>
      </c>
      <c r="D54" t="str">
        <f>IF(数据录入!$B54="","",SUM(数据录入!$D54:$AG54))</f>
        <v/>
      </c>
      <c r="E54" t="str">
        <f>IF(OR(数据录入!$B54="",数据录入!$B54=0),"",ROUND(D54/(数据录入!$B54*100)*100,1))</f>
        <v/>
      </c>
      <c r="F54" t="str">
        <f>IF(数据录入!$B54="","",IF(ROW()=2,0,N(G53)))</f>
        <v/>
      </c>
      <c r="G54" t="str">
        <f>IF(数据录入!$B54="","",F54+数据录入!$B54)</f>
        <v/>
      </c>
      <c r="H54" t="str">
        <f>IF(数据录入!$B54="","",C54+IF(数据录入!$C54="",0,数据录入!$C54))</f>
        <v/>
      </c>
      <c r="I54" t="str">
        <f>IF(数据录入!$B54="","",H54-1)</f>
        <v/>
      </c>
      <c r="J54" t="str">
        <f>IF(OR(数据录入!$B54="",H54=0),"",ROUND(数据录入!$B54*100/H54,1))</f>
        <v/>
      </c>
    </row>
    <row r="55" ht="18.00" customHeight="true">
      <c r="A55" t="str">
        <f>IF(数据录入!$B55="","",IF(数据录入!$A55=""," ",数据录入!$A55))</f>
        <v/>
      </c>
      <c r="B55" t="str">
        <f>IF(数据录入!$B55="","",数据录入!$B55)</f>
        <v/>
      </c>
      <c r="C55" t="str">
        <f>IF(数据录入!$B55="","",COUNT(数据录入!$D55:$AG55))</f>
        <v/>
      </c>
      <c r="D55" t="str">
        <f>IF(数据录入!$B55="","",SUM(数据录入!$D55:$AG55))</f>
        <v/>
      </c>
      <c r="E55" t="str">
        <f>IF(OR(数据录入!$B55="",数据录入!$B55=0),"",ROUND(D55/(数据录入!$B55*100)*100,1))</f>
        <v/>
      </c>
      <c r="F55" t="str">
        <f>IF(数据录入!$B55="","",IF(ROW()=2,0,N(G54)))</f>
        <v/>
      </c>
      <c r="G55" t="str">
        <f>IF(数据录入!$B55="","",F55+数据录入!$B55)</f>
        <v/>
      </c>
      <c r="H55" t="str">
        <f>IF(数据录入!$B55="","",C55+IF(数据录入!$C55="",0,数据录入!$C55))</f>
        <v/>
      </c>
      <c r="I55" t="str">
        <f>IF(数据录入!$B55="","",H55-1)</f>
        <v/>
      </c>
      <c r="J55" t="str">
        <f>IF(OR(数据录入!$B55="",H55=0),"",ROUND(数据录入!$B55*100/H55,1))</f>
        <v/>
      </c>
    </row>
    <row r="56" ht="18.00" customHeight="true">
      <c r="A56" t="str">
        <f>IF(数据录入!$B56="","",IF(数据录入!$A56=""," ",数据录入!$A56))</f>
        <v/>
      </c>
      <c r="B56" t="str">
        <f>IF(数据录入!$B56="","",数据录入!$B56)</f>
        <v/>
      </c>
      <c r="C56" t="str">
        <f>IF(数据录入!$B56="","",COUNT(数据录入!$D56:$AG56))</f>
        <v/>
      </c>
      <c r="D56" t="str">
        <f>IF(数据录入!$B56="","",SUM(数据录入!$D56:$AG56))</f>
        <v/>
      </c>
      <c r="E56" t="str">
        <f>IF(OR(数据录入!$B56="",数据录入!$B56=0),"",ROUND(D56/(数据录入!$B56*100)*100,1))</f>
        <v/>
      </c>
      <c r="F56" t="str">
        <f>IF(数据录入!$B56="","",IF(ROW()=2,0,N(G55)))</f>
        <v/>
      </c>
      <c r="G56" t="str">
        <f>IF(数据录入!$B56="","",F56+数据录入!$B56)</f>
        <v/>
      </c>
      <c r="H56" t="str">
        <f>IF(数据录入!$B56="","",C56+IF(数据录入!$C56="",0,数据录入!$C56))</f>
        <v/>
      </c>
      <c r="I56" t="str">
        <f>IF(数据录入!$B56="","",H56-1)</f>
        <v/>
      </c>
      <c r="J56" t="str">
        <f>IF(OR(数据录入!$B56="",H56=0),"",ROUND(数据录入!$B56*100/H56,1))</f>
        <v/>
      </c>
    </row>
    <row r="57" ht="18.00" customHeight="true">
      <c r="A57" t="str">
        <f>IF(数据录入!$B57="","",IF(数据录入!$A57=""," ",数据录入!$A57))</f>
        <v/>
      </c>
      <c r="B57" t="str">
        <f>IF(数据录入!$B57="","",数据录入!$B57)</f>
        <v/>
      </c>
      <c r="C57" t="str">
        <f>IF(数据录入!$B57="","",COUNT(数据录入!$D57:$AG57))</f>
        <v/>
      </c>
      <c r="D57" t="str">
        <f>IF(数据录入!$B57="","",SUM(数据录入!$D57:$AG57))</f>
        <v/>
      </c>
      <c r="E57" t="str">
        <f>IF(OR(数据录入!$B57="",数据录入!$B57=0),"",ROUND(D57/(数据录入!$B57*100)*100,1))</f>
        <v/>
      </c>
      <c r="F57" t="str">
        <f>IF(数据录入!$B57="","",IF(ROW()=2,0,N(G56)))</f>
        <v/>
      </c>
      <c r="G57" t="str">
        <f>IF(数据录入!$B57="","",F57+数据录入!$B57)</f>
        <v/>
      </c>
      <c r="H57" t="str">
        <f>IF(数据录入!$B57="","",C57+IF(数据录入!$C57="",0,数据录入!$C57))</f>
        <v/>
      </c>
      <c r="I57" t="str">
        <f>IF(数据录入!$B57="","",H57-1)</f>
        <v/>
      </c>
      <c r="J57" t="str">
        <f>IF(OR(数据录入!$B57="",H57=0),"",ROUND(数据录入!$B57*100/H57,1))</f>
        <v/>
      </c>
    </row>
    <row r="58" ht="18.00" customHeight="true">
      <c r="A58" t="str">
        <f>IF(数据录入!$B58="","",IF(数据录入!$A58=""," ",数据录入!$A58))</f>
        <v/>
      </c>
      <c r="B58" t="str">
        <f>IF(数据录入!$B58="","",数据录入!$B58)</f>
        <v/>
      </c>
      <c r="C58" t="str">
        <f>IF(数据录入!$B58="","",COUNT(数据录入!$D58:$AG58))</f>
        <v/>
      </c>
      <c r="D58" t="str">
        <f>IF(数据录入!$B58="","",SUM(数据录入!$D58:$AG58))</f>
        <v/>
      </c>
      <c r="E58" t="str">
        <f>IF(OR(数据录入!$B58="",数据录入!$B58=0),"",ROUND(D58/(数据录入!$B58*100)*100,1))</f>
        <v/>
      </c>
      <c r="F58" t="str">
        <f>IF(数据录入!$B58="","",IF(ROW()=2,0,N(G57)))</f>
        <v/>
      </c>
      <c r="G58" t="str">
        <f>IF(数据录入!$B58="","",F58+数据录入!$B58)</f>
        <v/>
      </c>
      <c r="H58" t="str">
        <f>IF(数据录入!$B58="","",C58+IF(数据录入!$C58="",0,数据录入!$C58))</f>
        <v/>
      </c>
      <c r="I58" t="str">
        <f>IF(数据录入!$B58="","",H58-1)</f>
        <v/>
      </c>
      <c r="J58" t="str">
        <f>IF(OR(数据录入!$B58="",H58=0),"",ROUND(数据录入!$B58*100/H58,1))</f>
        <v/>
      </c>
    </row>
    <row r="59" ht="18.00" customHeight="true">
      <c r="A59" t="str">
        <f>IF(数据录入!$B59="","",IF(数据录入!$A59=""," ",数据录入!$A59))</f>
        <v/>
      </c>
      <c r="B59" t="str">
        <f>IF(数据录入!$B59="","",数据录入!$B59)</f>
        <v/>
      </c>
      <c r="C59" t="str">
        <f>IF(数据录入!$B59="","",COUNT(数据录入!$D59:$AG59))</f>
        <v/>
      </c>
      <c r="D59" t="str">
        <f>IF(数据录入!$B59="","",SUM(数据录入!$D59:$AG59))</f>
        <v/>
      </c>
      <c r="E59" t="str">
        <f>IF(OR(数据录入!$B59="",数据录入!$B59=0),"",ROUND(D59/(数据录入!$B59*100)*100,1))</f>
        <v/>
      </c>
      <c r="F59" t="str">
        <f>IF(数据录入!$B59="","",IF(ROW()=2,0,N(G58)))</f>
        <v/>
      </c>
      <c r="G59" t="str">
        <f>IF(数据录入!$B59="","",F59+数据录入!$B59)</f>
        <v/>
      </c>
      <c r="H59" t="str">
        <f>IF(数据录入!$B59="","",C59+IF(数据录入!$C59="",0,数据录入!$C59))</f>
        <v/>
      </c>
      <c r="I59" t="str">
        <f>IF(数据录入!$B59="","",H59-1)</f>
        <v/>
      </c>
      <c r="J59" t="str">
        <f>IF(OR(数据录入!$B59="",H59=0),"",ROUND(数据录入!$B59*100/H59,1))</f>
        <v/>
      </c>
    </row>
    <row r="60" ht="18.00" customHeight="true">
      <c r="A60" t="str">
        <f>IF(数据录入!$B60="","",IF(数据录入!$A60=""," ",数据录入!$A60))</f>
        <v/>
      </c>
      <c r="B60" t="str">
        <f>IF(数据录入!$B60="","",数据录入!$B60)</f>
        <v/>
      </c>
      <c r="C60" t="str">
        <f>IF(数据录入!$B60="","",COUNT(数据录入!$D60:$AG60))</f>
        <v/>
      </c>
      <c r="D60" t="str">
        <f>IF(数据录入!$B60="","",SUM(数据录入!$D60:$AG60))</f>
        <v/>
      </c>
      <c r="E60" t="str">
        <f>IF(OR(数据录入!$B60="",数据录入!$B60=0),"",ROUND(D60/(数据录入!$B60*100)*100,1))</f>
        <v/>
      </c>
      <c r="F60" t="str">
        <f>IF(数据录入!$B60="","",IF(ROW()=2,0,N(G59)))</f>
        <v/>
      </c>
      <c r="G60" t="str">
        <f>IF(数据录入!$B60="","",F60+数据录入!$B60)</f>
        <v/>
      </c>
      <c r="H60" t="str">
        <f>IF(数据录入!$B60="","",C60+IF(数据录入!$C60="",0,数据录入!$C60))</f>
        <v/>
      </c>
      <c r="I60" t="str">
        <f>IF(数据录入!$B60="","",H60-1)</f>
        <v/>
      </c>
      <c r="J60" t="str">
        <f>IF(OR(数据录入!$B60="",H60=0),"",ROUND(数据录入!$B60*100/H60,1))</f>
        <v/>
      </c>
    </row>
    <row r="61" ht="18.00" customHeight="true">
      <c r="A61" t="str">
        <f>IF(数据录入!$B61="","",IF(数据录入!$A61=""," ",数据录入!$A61))</f>
        <v/>
      </c>
      <c r="B61" t="str">
        <f>IF(数据录入!$B61="","",数据录入!$B61)</f>
        <v/>
      </c>
      <c r="C61" t="str">
        <f>IF(数据录入!$B61="","",COUNT(数据录入!$D61:$AG61))</f>
        <v/>
      </c>
      <c r="D61" t="str">
        <f>IF(数据录入!$B61="","",SUM(数据录入!$D61:$AG61))</f>
        <v/>
      </c>
      <c r="E61" t="str">
        <f>IF(OR(数据录入!$B61="",数据录入!$B61=0),"",ROUND(D61/(数据录入!$B61*100)*100,1))</f>
        <v/>
      </c>
      <c r="F61" t="str">
        <f>IF(数据录入!$B61="","",IF(ROW()=2,0,N(G60)))</f>
        <v/>
      </c>
      <c r="G61" t="str">
        <f>IF(数据录入!$B61="","",F61+数据录入!$B61)</f>
        <v/>
      </c>
      <c r="H61" t="str">
        <f>IF(数据录入!$B61="","",C61+IF(数据录入!$C61="",0,数据录入!$C61))</f>
        <v/>
      </c>
      <c r="I61" t="str">
        <f>IF(数据录入!$B61="","",H61-1)</f>
        <v/>
      </c>
      <c r="J61" t="str">
        <f>IF(OR(数据录入!$B61="",H61=0),"",ROUND(数据录入!$B61*100/H61,1))</f>
        <v/>
      </c>
    </row>
    <row r="62" ht="18.00" customHeight="true">
      <c r="A62" t="str">
        <f>IF(数据录入!$B62="","",IF(数据录入!$A62=""," ",数据录入!$A62))</f>
        <v/>
      </c>
      <c r="B62" t="str">
        <f>IF(数据录入!$B62="","",数据录入!$B62)</f>
        <v/>
      </c>
      <c r="C62" t="str">
        <f>IF(数据录入!$B62="","",COUNT(数据录入!$D62:$AG62))</f>
        <v/>
      </c>
      <c r="D62" t="str">
        <f>IF(数据录入!$B62="","",SUM(数据录入!$D62:$AG62))</f>
        <v/>
      </c>
      <c r="E62" t="str">
        <f>IF(OR(数据录入!$B62="",数据录入!$B62=0),"",ROUND(D62/(数据录入!$B62*100)*100,1))</f>
        <v/>
      </c>
      <c r="F62" t="str">
        <f>IF(数据录入!$B62="","",IF(ROW()=2,0,N(G61)))</f>
        <v/>
      </c>
      <c r="G62" t="str">
        <f>IF(数据录入!$B62="","",F62+数据录入!$B62)</f>
        <v/>
      </c>
      <c r="H62" t="str">
        <f>IF(数据录入!$B62="","",C62+IF(数据录入!$C62="",0,数据录入!$C62))</f>
        <v/>
      </c>
      <c r="I62" t="str">
        <f>IF(数据录入!$B62="","",H62-1)</f>
        <v/>
      </c>
      <c r="J62" t="str">
        <f>IF(OR(数据录入!$B62="",H62=0),"",ROUND(数据录入!$B62*100/H62,1))</f>
        <v/>
      </c>
    </row>
    <row r="63" ht="18.00" customHeight="true">
      <c r="A63" t="str">
        <f>IF(数据录入!$B63="","",IF(数据录入!$A63=""," ",数据录入!$A63))</f>
        <v/>
      </c>
      <c r="B63" t="str">
        <f>IF(数据录入!$B63="","",数据录入!$B63)</f>
        <v/>
      </c>
      <c r="C63" t="str">
        <f>IF(数据录入!$B63="","",COUNT(数据录入!$D63:$AG63))</f>
        <v/>
      </c>
      <c r="D63" t="str">
        <f>IF(数据录入!$B63="","",SUM(数据录入!$D63:$AG63))</f>
        <v/>
      </c>
      <c r="E63" t="str">
        <f>IF(OR(数据录入!$B63="",数据录入!$B63=0),"",ROUND(D63/(数据录入!$B63*100)*100,1))</f>
        <v/>
      </c>
      <c r="F63" t="str">
        <f>IF(数据录入!$B63="","",IF(ROW()=2,0,N(G62)))</f>
        <v/>
      </c>
      <c r="G63" t="str">
        <f>IF(数据录入!$B63="","",F63+数据录入!$B63)</f>
        <v/>
      </c>
      <c r="H63" t="str">
        <f>IF(数据录入!$B63="","",C63+IF(数据录入!$C63="",0,数据录入!$C63))</f>
        <v/>
      </c>
      <c r="I63" t="str">
        <f>IF(数据录入!$B63="","",H63-1)</f>
        <v/>
      </c>
      <c r="J63" t="str">
        <f>IF(OR(数据录入!$B63="",H63=0),"",ROUND(数据录入!$B63*100/H63,1))</f>
        <v/>
      </c>
    </row>
    <row r="64" ht="18.00" customHeight="true">
      <c r="A64" t="str">
        <f>IF(数据录入!$B64="","",IF(数据录入!$A64=""," ",数据录入!$A64))</f>
        <v/>
      </c>
      <c r="B64" t="str">
        <f>IF(数据录入!$B64="","",数据录入!$B64)</f>
        <v/>
      </c>
      <c r="C64" t="str">
        <f>IF(数据录入!$B64="","",COUNT(数据录入!$D64:$AG64))</f>
        <v/>
      </c>
      <c r="D64" t="str">
        <f>IF(数据录入!$B64="","",SUM(数据录入!$D64:$AG64))</f>
        <v/>
      </c>
      <c r="E64" t="str">
        <f>IF(OR(数据录入!$B64="",数据录入!$B64=0),"",ROUND(D64/(数据录入!$B64*100)*100,1))</f>
        <v/>
      </c>
      <c r="F64" t="str">
        <f>IF(数据录入!$B64="","",IF(ROW()=2,0,N(G63)))</f>
        <v/>
      </c>
      <c r="G64" t="str">
        <f>IF(数据录入!$B64="","",F64+数据录入!$B64)</f>
        <v/>
      </c>
      <c r="H64" t="str">
        <f>IF(数据录入!$B64="","",C64+IF(数据录入!$C64="",0,数据录入!$C64))</f>
        <v/>
      </c>
      <c r="I64" t="str">
        <f>IF(数据录入!$B64="","",H64-1)</f>
        <v/>
      </c>
      <c r="J64" t="str">
        <f>IF(OR(数据录入!$B64="",H64=0),"",ROUND(数据录入!$B64*100/H64,1))</f>
        <v/>
      </c>
    </row>
    <row r="65" ht="18.00" customHeight="true">
      <c r="A65" t="str">
        <f>IF(数据录入!$B65="","",IF(数据录入!$A65=""," ",数据录入!$A65))</f>
        <v/>
      </c>
      <c r="B65" t="str">
        <f>IF(数据录入!$B65="","",数据录入!$B65)</f>
        <v/>
      </c>
      <c r="C65" t="str">
        <f>IF(数据录入!$B65="","",COUNT(数据录入!$D65:$AG65))</f>
        <v/>
      </c>
      <c r="D65" t="str">
        <f>IF(数据录入!$B65="","",SUM(数据录入!$D65:$AG65))</f>
        <v/>
      </c>
      <c r="E65" t="str">
        <f>IF(OR(数据录入!$B65="",数据录入!$B65=0),"",ROUND(D65/(数据录入!$B65*100)*100,1))</f>
        <v/>
      </c>
      <c r="F65" t="str">
        <f>IF(数据录入!$B65="","",IF(ROW()=2,0,N(G64)))</f>
        <v/>
      </c>
      <c r="G65" t="str">
        <f>IF(数据录入!$B65="","",F65+数据录入!$B65)</f>
        <v/>
      </c>
      <c r="H65" t="str">
        <f>IF(数据录入!$B65="","",C65+IF(数据录入!$C65="",0,数据录入!$C65))</f>
        <v/>
      </c>
      <c r="I65" t="str">
        <f>IF(数据录入!$B65="","",H65-1)</f>
        <v/>
      </c>
      <c r="J65" t="str">
        <f>IF(OR(数据录入!$B65="",H65=0),"",ROUND(数据录入!$B65*100/H65,1))</f>
        <v/>
      </c>
    </row>
    <row r="66" ht="18.00" customHeight="true">
      <c r="A66" t="str">
        <f>IF(数据录入!$B66="","",IF(数据录入!$A66=""," ",数据录入!$A66))</f>
        <v/>
      </c>
      <c r="B66" t="str">
        <f>IF(数据录入!$B66="","",数据录入!$B66)</f>
        <v/>
      </c>
      <c r="C66" t="str">
        <f>IF(数据录入!$B66="","",COUNT(数据录入!$D66:$AG66))</f>
        <v/>
      </c>
      <c r="D66" t="str">
        <f>IF(数据录入!$B66="","",SUM(数据录入!$D66:$AG66))</f>
        <v/>
      </c>
      <c r="E66" t="str">
        <f>IF(OR(数据录入!$B66="",数据录入!$B66=0),"",ROUND(D66/(数据录入!$B66*100)*100,1))</f>
        <v/>
      </c>
      <c r="F66" t="str">
        <f>IF(数据录入!$B66="","",IF(ROW()=2,0,N(G65)))</f>
        <v/>
      </c>
      <c r="G66" t="str">
        <f>IF(数据录入!$B66="","",F66+数据录入!$B66)</f>
        <v/>
      </c>
      <c r="H66" t="str">
        <f>IF(数据录入!$B66="","",C66+IF(数据录入!$C66="",0,数据录入!$C66))</f>
        <v/>
      </c>
      <c r="I66" t="str">
        <f>IF(数据录入!$B66="","",H66-1)</f>
        <v/>
      </c>
      <c r="J66" t="str">
        <f>IF(OR(数据录入!$B66="",H66=0),"",ROUND(数据录入!$B66*100/H66,1))</f>
        <v/>
      </c>
    </row>
    <row r="67" ht="18.00" customHeight="true">
      <c r="A67" t="str">
        <f>IF(数据录入!$B67="","",IF(数据录入!$A67=""," ",数据录入!$A67))</f>
        <v/>
      </c>
      <c r="B67" t="str">
        <f>IF(数据录入!$B67="","",数据录入!$B67)</f>
        <v/>
      </c>
      <c r="C67" t="str">
        <f>IF(数据录入!$B67="","",COUNT(数据录入!$D67:$AG67))</f>
        <v/>
      </c>
      <c r="D67" t="str">
        <f>IF(数据录入!$B67="","",SUM(数据录入!$D67:$AG67))</f>
        <v/>
      </c>
      <c r="E67" t="str">
        <f>IF(OR(数据录入!$B67="",数据录入!$B67=0),"",ROUND(D67/(数据录入!$B67*100)*100,1))</f>
        <v/>
      </c>
      <c r="F67" t="str">
        <f>IF(数据录入!$B67="","",IF(ROW()=2,0,N(G66)))</f>
        <v/>
      </c>
      <c r="G67" t="str">
        <f>IF(数据录入!$B67="","",F67+数据录入!$B67)</f>
        <v/>
      </c>
      <c r="H67" t="str">
        <f>IF(数据录入!$B67="","",C67+IF(数据录入!$C67="",0,数据录入!$C67))</f>
        <v/>
      </c>
      <c r="I67" t="str">
        <f>IF(数据录入!$B67="","",H67-1)</f>
        <v/>
      </c>
      <c r="J67" t="str">
        <f>IF(OR(数据录入!$B67="",H67=0),"",ROUND(数据录入!$B67*100/H67,1))</f>
        <v/>
      </c>
    </row>
    <row r="68" ht="18.00" customHeight="true">
      <c r="A68" t="str">
        <f>IF(数据录入!$B68="","",IF(数据录入!$A68=""," ",数据录入!$A68))</f>
        <v/>
      </c>
      <c r="B68" t="str">
        <f>IF(数据录入!$B68="","",数据录入!$B68)</f>
        <v/>
      </c>
      <c r="C68" t="str">
        <f>IF(数据录入!$B68="","",COUNT(数据录入!$D68:$AG68))</f>
        <v/>
      </c>
      <c r="D68" t="str">
        <f>IF(数据录入!$B68="","",SUM(数据录入!$D68:$AG68))</f>
        <v/>
      </c>
      <c r="E68" t="str">
        <f>IF(OR(数据录入!$B68="",数据录入!$B68=0),"",ROUND(D68/(数据录入!$B68*100)*100,1))</f>
        <v/>
      </c>
      <c r="F68" t="str">
        <f>IF(数据录入!$B68="","",IF(ROW()=2,0,N(G67)))</f>
        <v/>
      </c>
      <c r="G68" t="str">
        <f>IF(数据录入!$B68="","",F68+数据录入!$B68)</f>
        <v/>
      </c>
      <c r="H68" t="str">
        <f>IF(数据录入!$B68="","",C68+IF(数据录入!$C68="",0,数据录入!$C68))</f>
        <v/>
      </c>
      <c r="I68" t="str">
        <f>IF(数据录入!$B68="","",H68-1)</f>
        <v/>
      </c>
      <c r="J68" t="str">
        <f>IF(OR(数据录入!$B68="",H68=0),"",ROUND(数据录入!$B68*100/H68,1))</f>
        <v/>
      </c>
    </row>
    <row r="69" ht="18.00" customHeight="true">
      <c r="A69" t="str">
        <f>IF(数据录入!$B69="","",IF(数据录入!$A69=""," ",数据录入!$A69))</f>
        <v/>
      </c>
      <c r="B69" t="str">
        <f>IF(数据录入!$B69="","",数据录入!$B69)</f>
        <v/>
      </c>
      <c r="C69" t="str">
        <f>IF(数据录入!$B69="","",COUNT(数据录入!$D69:$AG69))</f>
        <v/>
      </c>
      <c r="D69" t="str">
        <f>IF(数据录入!$B69="","",SUM(数据录入!$D69:$AG69))</f>
        <v/>
      </c>
      <c r="E69" t="str">
        <f>IF(OR(数据录入!$B69="",数据录入!$B69=0),"",ROUND(D69/(数据录入!$B69*100)*100,1))</f>
        <v/>
      </c>
      <c r="F69" t="str">
        <f>IF(数据录入!$B69="","",IF(ROW()=2,0,N(G68)))</f>
        <v/>
      </c>
      <c r="G69" t="str">
        <f>IF(数据录入!$B69="","",F69+数据录入!$B69)</f>
        <v/>
      </c>
      <c r="H69" t="str">
        <f>IF(数据录入!$B69="","",C69+IF(数据录入!$C69="",0,数据录入!$C69))</f>
        <v/>
      </c>
      <c r="I69" t="str">
        <f>IF(数据录入!$B69="","",H69-1)</f>
        <v/>
      </c>
      <c r="J69" t="str">
        <f>IF(OR(数据录入!$B69="",H69=0),"",ROUND(数据录入!$B69*100/H69,1))</f>
        <v/>
      </c>
    </row>
    <row r="70" ht="18.00" customHeight="true">
      <c r="A70" t="str">
        <f>IF(数据录入!$B70="","",IF(数据录入!$A70=""," ",数据录入!$A70))</f>
        <v/>
      </c>
      <c r="B70" t="str">
        <f>IF(数据录入!$B70="","",数据录入!$B70)</f>
        <v/>
      </c>
      <c r="C70" t="str">
        <f>IF(数据录入!$B70="","",COUNT(数据录入!$D70:$AG70))</f>
        <v/>
      </c>
      <c r="D70" t="str">
        <f>IF(数据录入!$B70="","",SUM(数据录入!$D70:$AG70))</f>
        <v/>
      </c>
      <c r="E70" t="str">
        <f>IF(OR(数据录入!$B70="",数据录入!$B70=0),"",ROUND(D70/(数据录入!$B70*100)*100,1))</f>
        <v/>
      </c>
      <c r="F70" t="str">
        <f>IF(数据录入!$B70="","",IF(ROW()=2,0,N(G69)))</f>
        <v/>
      </c>
      <c r="G70" t="str">
        <f>IF(数据录入!$B70="","",F70+数据录入!$B70)</f>
        <v/>
      </c>
      <c r="H70" t="str">
        <f>IF(数据录入!$B70="","",C70+IF(数据录入!$C70="",0,数据录入!$C70))</f>
        <v/>
      </c>
      <c r="I70" t="str">
        <f>IF(数据录入!$B70="","",H70-1)</f>
        <v/>
      </c>
      <c r="J70" t="str">
        <f>IF(OR(数据录入!$B70="",H70=0),"",ROUND(数据录入!$B70*100/H70,1))</f>
        <v/>
      </c>
    </row>
    <row r="71" ht="18.00" customHeight="true">
      <c r="A71" t="str">
        <f>IF(数据录入!$B71="","",IF(数据录入!$A71=""," ",数据录入!$A71))</f>
        <v/>
      </c>
      <c r="B71" t="str">
        <f>IF(数据录入!$B71="","",数据录入!$B71)</f>
        <v/>
      </c>
      <c r="C71" t="str">
        <f>IF(数据录入!$B71="","",COUNT(数据录入!$D71:$AG71))</f>
        <v/>
      </c>
      <c r="D71" t="str">
        <f>IF(数据录入!$B71="","",SUM(数据录入!$D71:$AG71))</f>
        <v/>
      </c>
      <c r="E71" t="str">
        <f>IF(OR(数据录入!$B71="",数据录入!$B71=0),"",ROUND(D71/(数据录入!$B71*100)*100,1))</f>
        <v/>
      </c>
      <c r="F71" t="str">
        <f>IF(数据录入!$B71="","",IF(ROW()=2,0,N(G70)))</f>
        <v/>
      </c>
      <c r="G71" t="str">
        <f>IF(数据录入!$B71="","",F71+数据录入!$B71)</f>
        <v/>
      </c>
      <c r="H71" t="str">
        <f>IF(数据录入!$B71="","",C71+IF(数据录入!$C71="",0,数据录入!$C71))</f>
        <v/>
      </c>
      <c r="I71" t="str">
        <f>IF(数据录入!$B71="","",H71-1)</f>
        <v/>
      </c>
      <c r="J71" t="str">
        <f>IF(OR(数据录入!$B71="",H71=0),"",ROUND(数据录入!$B71*100/H71,1))</f>
        <v/>
      </c>
    </row>
    <row r="72" ht="18.00" customHeight="true">
      <c r="A72" t="str">
        <f>IF(数据录入!$B72="","",IF(数据录入!$A72=""," ",数据录入!$A72))</f>
        <v/>
      </c>
      <c r="B72" t="str">
        <f>IF(数据录入!$B72="","",数据录入!$B72)</f>
        <v/>
      </c>
      <c r="C72" t="str">
        <f>IF(数据录入!$B72="","",COUNT(数据录入!$D72:$AG72))</f>
        <v/>
      </c>
      <c r="D72" t="str">
        <f>IF(数据录入!$B72="","",SUM(数据录入!$D72:$AG72))</f>
        <v/>
      </c>
      <c r="E72" t="str">
        <f>IF(OR(数据录入!$B72="",数据录入!$B72=0),"",ROUND(D72/(数据录入!$B72*100)*100,1))</f>
        <v/>
      </c>
      <c r="F72" t="str">
        <f>IF(数据录入!$B72="","",IF(ROW()=2,0,N(G71)))</f>
        <v/>
      </c>
      <c r="G72" t="str">
        <f>IF(数据录入!$B72="","",F72+数据录入!$B72)</f>
        <v/>
      </c>
      <c r="H72" t="str">
        <f>IF(数据录入!$B72="","",C72+IF(数据录入!$C72="",0,数据录入!$C72))</f>
        <v/>
      </c>
      <c r="I72" t="str">
        <f>IF(数据录入!$B72="","",H72-1)</f>
        <v/>
      </c>
      <c r="J72" t="str">
        <f>IF(OR(数据录入!$B72="",H72=0),"",ROUND(数据录入!$B72*100/H72,1))</f>
        <v/>
      </c>
    </row>
    <row r="73" ht="18.00" customHeight="true">
      <c r="A73" t="str">
        <f>IF(数据录入!$B73="","",IF(数据录入!$A73=""," ",数据录入!$A73))</f>
        <v/>
      </c>
      <c r="B73" t="str">
        <f>IF(数据录入!$B73="","",数据录入!$B73)</f>
        <v/>
      </c>
      <c r="C73" t="str">
        <f>IF(数据录入!$B73="","",COUNT(数据录入!$D73:$AG73))</f>
        <v/>
      </c>
      <c r="D73" t="str">
        <f>IF(数据录入!$B73="","",SUM(数据录入!$D73:$AG73))</f>
        <v/>
      </c>
      <c r="E73" t="str">
        <f>IF(OR(数据录入!$B73="",数据录入!$B73=0),"",ROUND(D73/(数据录入!$B73*100)*100,1))</f>
        <v/>
      </c>
      <c r="F73" t="str">
        <f>IF(数据录入!$B73="","",IF(ROW()=2,0,N(G72)))</f>
        <v/>
      </c>
      <c r="G73" t="str">
        <f>IF(数据录入!$B73="","",F73+数据录入!$B73)</f>
        <v/>
      </c>
      <c r="H73" t="str">
        <f>IF(数据录入!$B73="","",C73+IF(数据录入!$C73="",0,数据录入!$C73))</f>
        <v/>
      </c>
      <c r="I73" t="str">
        <f>IF(数据录入!$B73="","",H73-1)</f>
        <v/>
      </c>
      <c r="J73" t="str">
        <f>IF(OR(数据录入!$B73="",H73=0),"",ROUND(数据录入!$B73*100/H73,1))</f>
        <v/>
      </c>
    </row>
    <row r="74" ht="18.00" customHeight="true">
      <c r="A74" t="str">
        <f>IF(数据录入!$B74="","",IF(数据录入!$A74=""," ",数据录入!$A74))</f>
        <v/>
      </c>
      <c r="B74" t="str">
        <f>IF(数据录入!$B74="","",数据录入!$B74)</f>
        <v/>
      </c>
      <c r="C74" t="str">
        <f>IF(数据录入!$B74="","",COUNT(数据录入!$D74:$AG74))</f>
        <v/>
      </c>
      <c r="D74" t="str">
        <f>IF(数据录入!$B74="","",SUM(数据录入!$D74:$AG74))</f>
        <v/>
      </c>
      <c r="E74" t="str">
        <f>IF(OR(数据录入!$B74="",数据录入!$B74=0),"",ROUND(D74/(数据录入!$B74*100)*100,1))</f>
        <v/>
      </c>
      <c r="F74" t="str">
        <f>IF(数据录入!$B74="","",IF(ROW()=2,0,N(G73)))</f>
        <v/>
      </c>
      <c r="G74" t="str">
        <f>IF(数据录入!$B74="","",F74+数据录入!$B74)</f>
        <v/>
      </c>
      <c r="H74" t="str">
        <f>IF(数据录入!$B74="","",C74+IF(数据录入!$C74="",0,数据录入!$C74))</f>
        <v/>
      </c>
      <c r="I74" t="str">
        <f>IF(数据录入!$B74="","",H74-1)</f>
        <v/>
      </c>
      <c r="J74" t="str">
        <f>IF(OR(数据录入!$B74="",H74=0),"",ROUND(数据录入!$B74*100/H74,1))</f>
        <v/>
      </c>
    </row>
    <row r="75" ht="18.00" customHeight="true">
      <c r="A75" t="str">
        <f>IF(数据录入!$B75="","",IF(数据录入!$A75=""," ",数据录入!$A75))</f>
        <v/>
      </c>
      <c r="B75" t="str">
        <f>IF(数据录入!$B75="","",数据录入!$B75)</f>
        <v/>
      </c>
      <c r="C75" t="str">
        <f>IF(数据录入!$B75="","",COUNT(数据录入!$D75:$AG75))</f>
        <v/>
      </c>
      <c r="D75" t="str">
        <f>IF(数据录入!$B75="","",SUM(数据录入!$D75:$AG75))</f>
        <v/>
      </c>
      <c r="E75" t="str">
        <f>IF(OR(数据录入!$B75="",数据录入!$B75=0),"",ROUND(D75/(数据录入!$B75*100)*100,1))</f>
        <v/>
      </c>
      <c r="F75" t="str">
        <f>IF(数据录入!$B75="","",IF(ROW()=2,0,N(G74)))</f>
        <v/>
      </c>
      <c r="G75" t="str">
        <f>IF(数据录入!$B75="","",F75+数据录入!$B75)</f>
        <v/>
      </c>
      <c r="H75" t="str">
        <f>IF(数据录入!$B75="","",C75+IF(数据录入!$C75="",0,数据录入!$C75))</f>
        <v/>
      </c>
      <c r="I75" t="str">
        <f>IF(数据录入!$B75="","",H75-1)</f>
        <v/>
      </c>
      <c r="J75" t="str">
        <f>IF(OR(数据录入!$B75="",H75=0),"",ROUND(数据录入!$B75*100/H75,1))</f>
        <v/>
      </c>
    </row>
    <row r="76" ht="18.00" customHeight="true">
      <c r="A76" t="str">
        <f>IF(数据录入!$B76="","",IF(数据录入!$A76=""," ",数据录入!$A76))</f>
        <v/>
      </c>
      <c r="B76" t="str">
        <f>IF(数据录入!$B76="","",数据录入!$B76)</f>
        <v/>
      </c>
      <c r="C76" t="str">
        <f>IF(数据录入!$B76="","",COUNT(数据录入!$D76:$AG76))</f>
        <v/>
      </c>
      <c r="D76" t="str">
        <f>IF(数据录入!$B76="","",SUM(数据录入!$D76:$AG76))</f>
        <v/>
      </c>
      <c r="E76" t="str">
        <f>IF(OR(数据录入!$B76="",数据录入!$B76=0),"",ROUND(D76/(数据录入!$B76*100)*100,1))</f>
        <v/>
      </c>
      <c r="F76" t="str">
        <f>IF(数据录入!$B76="","",IF(ROW()=2,0,N(G75)))</f>
        <v/>
      </c>
      <c r="G76" t="str">
        <f>IF(数据录入!$B76="","",F76+数据录入!$B76)</f>
        <v/>
      </c>
      <c r="H76" t="str">
        <f>IF(数据录入!$B76="","",C76+IF(数据录入!$C76="",0,数据录入!$C76))</f>
        <v/>
      </c>
      <c r="I76" t="str">
        <f>IF(数据录入!$B76="","",H76-1)</f>
        <v/>
      </c>
      <c r="J76" t="str">
        <f>IF(OR(数据录入!$B76="",H76=0),"",ROUND(数据录入!$B76*100/H76,1))</f>
        <v/>
      </c>
    </row>
    <row r="77" ht="18.00" customHeight="true">
      <c r="A77" t="str">
        <f>IF(数据录入!$B77="","",IF(数据录入!$A77=""," ",数据录入!$A77))</f>
        <v/>
      </c>
      <c r="B77" t="str">
        <f>IF(数据录入!$B77="","",数据录入!$B77)</f>
        <v/>
      </c>
      <c r="C77" t="str">
        <f>IF(数据录入!$B77="","",COUNT(数据录入!$D77:$AG77))</f>
        <v/>
      </c>
      <c r="D77" t="str">
        <f>IF(数据录入!$B77="","",SUM(数据录入!$D77:$AG77))</f>
        <v/>
      </c>
      <c r="E77" t="str">
        <f>IF(OR(数据录入!$B77="",数据录入!$B77=0),"",ROUND(D77/(数据录入!$B77*100)*100,1))</f>
        <v/>
      </c>
      <c r="F77" t="str">
        <f>IF(数据录入!$B77="","",IF(ROW()=2,0,N(G76)))</f>
        <v/>
      </c>
      <c r="G77" t="str">
        <f>IF(数据录入!$B77="","",F77+数据录入!$B77)</f>
        <v/>
      </c>
      <c r="H77" t="str">
        <f>IF(数据录入!$B77="","",C77+IF(数据录入!$C77="",0,数据录入!$C77))</f>
        <v/>
      </c>
      <c r="I77" t="str">
        <f>IF(数据录入!$B77="","",H77-1)</f>
        <v/>
      </c>
      <c r="J77" t="str">
        <f>IF(OR(数据录入!$B77="",H77=0),"",ROUND(数据录入!$B77*100/H77,1))</f>
        <v/>
      </c>
    </row>
    <row r="78" ht="18.00" customHeight="true">
      <c r="A78" t="str">
        <f>IF(数据录入!$B78="","",IF(数据录入!$A78=""," ",数据录入!$A78))</f>
        <v/>
      </c>
      <c r="B78" t="str">
        <f>IF(数据录入!$B78="","",数据录入!$B78)</f>
        <v/>
      </c>
      <c r="C78" t="str">
        <f>IF(数据录入!$B78="","",COUNT(数据录入!$D78:$AG78))</f>
        <v/>
      </c>
      <c r="D78" t="str">
        <f>IF(数据录入!$B78="","",SUM(数据录入!$D78:$AG78))</f>
        <v/>
      </c>
      <c r="E78" t="str">
        <f>IF(OR(数据录入!$B78="",数据录入!$B78=0),"",ROUND(D78/(数据录入!$B78*100)*100,1))</f>
        <v/>
      </c>
      <c r="F78" t="str">
        <f>IF(数据录入!$B78="","",IF(ROW()=2,0,N(G77)))</f>
        <v/>
      </c>
      <c r="G78" t="str">
        <f>IF(数据录入!$B78="","",F78+数据录入!$B78)</f>
        <v/>
      </c>
      <c r="H78" t="str">
        <f>IF(数据录入!$B78="","",C78+IF(数据录入!$C78="",0,数据录入!$C78))</f>
        <v/>
      </c>
      <c r="I78" t="str">
        <f>IF(数据录入!$B78="","",H78-1)</f>
        <v/>
      </c>
      <c r="J78" t="str">
        <f>IF(OR(数据录入!$B78="",H78=0),"",ROUND(数据录入!$B78*100/H78,1))</f>
        <v/>
      </c>
    </row>
    <row r="79" ht="18.00" customHeight="true">
      <c r="A79" t="str">
        <f>IF(数据录入!$B79="","",IF(数据录入!$A79=""," ",数据录入!$A79))</f>
        <v/>
      </c>
      <c r="B79" t="str">
        <f>IF(数据录入!$B79="","",数据录入!$B79)</f>
        <v/>
      </c>
      <c r="C79" t="str">
        <f>IF(数据录入!$B79="","",COUNT(数据录入!$D79:$AG79))</f>
        <v/>
      </c>
      <c r="D79" t="str">
        <f>IF(数据录入!$B79="","",SUM(数据录入!$D79:$AG79))</f>
        <v/>
      </c>
      <c r="E79" t="str">
        <f>IF(OR(数据录入!$B79="",数据录入!$B79=0),"",ROUND(D79/(数据录入!$B79*100)*100,1))</f>
        <v/>
      </c>
      <c r="F79" t="str">
        <f>IF(数据录入!$B79="","",IF(ROW()=2,0,N(G78)))</f>
        <v/>
      </c>
      <c r="G79" t="str">
        <f>IF(数据录入!$B79="","",F79+数据录入!$B79)</f>
        <v/>
      </c>
      <c r="H79" t="str">
        <f>IF(数据录入!$B79="","",C79+IF(数据录入!$C79="",0,数据录入!$C79))</f>
        <v/>
      </c>
      <c r="I79" t="str">
        <f>IF(数据录入!$B79="","",H79-1)</f>
        <v/>
      </c>
      <c r="J79" t="str">
        <f>IF(OR(数据录入!$B79="",H79=0),"",ROUND(数据录入!$B79*100/H79,1))</f>
        <v/>
      </c>
    </row>
    <row r="80" ht="18.00" customHeight="true">
      <c r="A80" t="str">
        <f>IF(数据录入!$B80="","",IF(数据录入!$A80=""," ",数据录入!$A80))</f>
        <v/>
      </c>
      <c r="B80" t="str">
        <f>IF(数据录入!$B80="","",数据录入!$B80)</f>
        <v/>
      </c>
      <c r="C80" t="str">
        <f>IF(数据录入!$B80="","",COUNT(数据录入!$D80:$AG80))</f>
        <v/>
      </c>
      <c r="D80" t="str">
        <f>IF(数据录入!$B80="","",SUM(数据录入!$D80:$AG80))</f>
        <v/>
      </c>
      <c r="E80" t="str">
        <f>IF(OR(数据录入!$B80="",数据录入!$B80=0),"",ROUND(D80/(数据录入!$B80*100)*100,1))</f>
        <v/>
      </c>
      <c r="F80" t="str">
        <f>IF(数据录入!$B80="","",IF(ROW()=2,0,N(G79)))</f>
        <v/>
      </c>
      <c r="G80" t="str">
        <f>IF(数据录入!$B80="","",F80+数据录入!$B80)</f>
        <v/>
      </c>
      <c r="H80" t="str">
        <f>IF(数据录入!$B80="","",C80+IF(数据录入!$C80="",0,数据录入!$C80))</f>
        <v/>
      </c>
      <c r="I80" t="str">
        <f>IF(数据录入!$B80="","",H80-1)</f>
        <v/>
      </c>
      <c r="J80" t="str">
        <f>IF(OR(数据录入!$B80="",H80=0),"",ROUND(数据录入!$B80*100/H80,1))</f>
        <v/>
      </c>
    </row>
    <row r="81" ht="18.00" customHeight="true">
      <c r="A81" t="str">
        <f>IF(数据录入!$B81="","",IF(数据录入!$A81=""," ",数据录入!$A81))</f>
        <v/>
      </c>
      <c r="B81" t="str">
        <f>IF(数据录入!$B81="","",数据录入!$B81)</f>
        <v/>
      </c>
      <c r="C81" t="str">
        <f>IF(数据录入!$B81="","",COUNT(数据录入!$D81:$AG81))</f>
        <v/>
      </c>
      <c r="D81" t="str">
        <f>IF(数据录入!$B81="","",SUM(数据录入!$D81:$AG81))</f>
        <v/>
      </c>
      <c r="E81" t="str">
        <f>IF(OR(数据录入!$B81="",数据录入!$B81=0),"",ROUND(D81/(数据录入!$B81*100)*100,1))</f>
        <v/>
      </c>
      <c r="F81" t="str">
        <f>IF(数据录入!$B81="","",IF(ROW()=2,0,N(G80)))</f>
        <v/>
      </c>
      <c r="G81" t="str">
        <f>IF(数据录入!$B81="","",F81+数据录入!$B81)</f>
        <v/>
      </c>
      <c r="H81" t="str">
        <f>IF(数据录入!$B81="","",C81+IF(数据录入!$C81="",0,数据录入!$C81))</f>
        <v/>
      </c>
      <c r="I81" t="str">
        <f>IF(数据录入!$B81="","",H81-1)</f>
        <v/>
      </c>
      <c r="J81" t="str">
        <f>IF(OR(数据录入!$B81="",H81=0),"",ROUND(数据录入!$B81*100/H81,1))</f>
        <v/>
      </c>
    </row>
    <row r="82" ht="18.00" customHeight="true">
      <c r="A82" t="str">
        <f>IF(数据录入!$B82="","",IF(数据录入!$A82=""," ",数据录入!$A82))</f>
        <v/>
      </c>
      <c r="B82" t="str">
        <f>IF(数据录入!$B82="","",数据录入!$B82)</f>
        <v/>
      </c>
      <c r="C82" t="str">
        <f>IF(数据录入!$B82="","",COUNT(数据录入!$D82:$AG82))</f>
        <v/>
      </c>
      <c r="D82" t="str">
        <f>IF(数据录入!$B82="","",SUM(数据录入!$D82:$AG82))</f>
        <v/>
      </c>
      <c r="E82" t="str">
        <f>IF(OR(数据录入!$B82="",数据录入!$B82=0),"",ROUND(D82/(数据录入!$B82*100)*100,1))</f>
        <v/>
      </c>
      <c r="F82" t="str">
        <f>IF(数据录入!$B82="","",IF(ROW()=2,0,N(G81)))</f>
        <v/>
      </c>
      <c r="G82" t="str">
        <f>IF(数据录入!$B82="","",F82+数据录入!$B82)</f>
        <v/>
      </c>
      <c r="H82" t="str">
        <f>IF(数据录入!$B82="","",C82+IF(数据录入!$C82="",0,数据录入!$C82))</f>
        <v/>
      </c>
      <c r="I82" t="str">
        <f>IF(数据录入!$B82="","",H82-1)</f>
        <v/>
      </c>
      <c r="J82" t="str">
        <f>IF(OR(数据录入!$B82="",H82=0),"",ROUND(数据录入!$B82*100/H82,1))</f>
        <v/>
      </c>
    </row>
    <row r="83" ht="18.00" customHeight="true">
      <c r="A83" t="str">
        <f>IF(数据录入!$B83="","",IF(数据录入!$A83=""," ",数据录入!$A83))</f>
        <v/>
      </c>
      <c r="B83" t="str">
        <f>IF(数据录入!$B83="","",数据录入!$B83)</f>
        <v/>
      </c>
      <c r="C83" t="str">
        <f>IF(数据录入!$B83="","",COUNT(数据录入!$D83:$AG83))</f>
        <v/>
      </c>
      <c r="D83" t="str">
        <f>IF(数据录入!$B83="","",SUM(数据录入!$D83:$AG83))</f>
        <v/>
      </c>
      <c r="E83" t="str">
        <f>IF(OR(数据录入!$B83="",数据录入!$B83=0),"",ROUND(D83/(数据录入!$B83*100)*100,1))</f>
        <v/>
      </c>
      <c r="F83" t="str">
        <f>IF(数据录入!$B83="","",IF(ROW()=2,0,N(G82)))</f>
        <v/>
      </c>
      <c r="G83" t="str">
        <f>IF(数据录入!$B83="","",F83+数据录入!$B83)</f>
        <v/>
      </c>
      <c r="H83" t="str">
        <f>IF(数据录入!$B83="","",C83+IF(数据录入!$C83="",0,数据录入!$C83))</f>
        <v/>
      </c>
      <c r="I83" t="str">
        <f>IF(数据录入!$B83="","",H83-1)</f>
        <v/>
      </c>
      <c r="J83" t="str">
        <f>IF(OR(数据录入!$B83="",H83=0),"",ROUND(数据录入!$B83*100/H83,1))</f>
        <v/>
      </c>
    </row>
    <row r="84" ht="18.00" customHeight="true">
      <c r="A84" t="str">
        <f>IF(数据录入!$B84="","",IF(数据录入!$A84=""," ",数据录入!$A84))</f>
        <v/>
      </c>
      <c r="B84" t="str">
        <f>IF(数据录入!$B84="","",数据录入!$B84)</f>
        <v/>
      </c>
      <c r="C84" t="str">
        <f>IF(数据录入!$B84="","",COUNT(数据录入!$D84:$AG84))</f>
        <v/>
      </c>
      <c r="D84" t="str">
        <f>IF(数据录入!$B84="","",SUM(数据录入!$D84:$AG84))</f>
        <v/>
      </c>
      <c r="E84" t="str">
        <f>IF(OR(数据录入!$B84="",数据录入!$B84=0),"",ROUND(D84/(数据录入!$B84*100)*100,1))</f>
        <v/>
      </c>
      <c r="F84" t="str">
        <f>IF(数据录入!$B84="","",IF(ROW()=2,0,N(G83)))</f>
        <v/>
      </c>
      <c r="G84" t="str">
        <f>IF(数据录入!$B84="","",F84+数据录入!$B84)</f>
        <v/>
      </c>
      <c r="H84" t="str">
        <f>IF(数据录入!$B84="","",C84+IF(数据录入!$C84="",0,数据录入!$C84))</f>
        <v/>
      </c>
      <c r="I84" t="str">
        <f>IF(数据录入!$B84="","",H84-1)</f>
        <v/>
      </c>
      <c r="J84" t="str">
        <f>IF(OR(数据录入!$B84="",H84=0),"",ROUND(数据录入!$B84*100/H84,1))</f>
        <v/>
      </c>
    </row>
    <row r="85" ht="18.00" customHeight="true">
      <c r="A85" t="str">
        <f>IF(数据录入!$B85="","",IF(数据录入!$A85=""," ",数据录入!$A85))</f>
        <v/>
      </c>
      <c r="B85" t="str">
        <f>IF(数据录入!$B85="","",数据录入!$B85)</f>
        <v/>
      </c>
      <c r="C85" t="str">
        <f>IF(数据录入!$B85="","",COUNT(数据录入!$D85:$AG85))</f>
        <v/>
      </c>
      <c r="D85" t="str">
        <f>IF(数据录入!$B85="","",SUM(数据录入!$D85:$AG85))</f>
        <v/>
      </c>
      <c r="E85" t="str">
        <f>IF(OR(数据录入!$B85="",数据录入!$B85=0),"",ROUND(D85/(数据录入!$B85*100)*100,1))</f>
        <v/>
      </c>
      <c r="F85" t="str">
        <f>IF(数据录入!$B85="","",IF(ROW()=2,0,N(G84)))</f>
        <v/>
      </c>
      <c r="G85" t="str">
        <f>IF(数据录入!$B85="","",F85+数据录入!$B85)</f>
        <v/>
      </c>
      <c r="H85" t="str">
        <f>IF(数据录入!$B85="","",C85+IF(数据录入!$C85="",0,数据录入!$C85))</f>
        <v/>
      </c>
      <c r="I85" t="str">
        <f>IF(数据录入!$B85="","",H85-1)</f>
        <v/>
      </c>
      <c r="J85" t="str">
        <f>IF(OR(数据录入!$B85="",H85=0),"",ROUND(数据录入!$B85*100/H85,1))</f>
        <v/>
      </c>
    </row>
    <row r="86" ht="18.00" customHeight="true">
      <c r="A86" t="str">
        <f>IF(数据录入!$B86="","",IF(数据录入!$A86=""," ",数据录入!$A86))</f>
        <v/>
      </c>
      <c r="B86" t="str">
        <f>IF(数据录入!$B86="","",数据录入!$B86)</f>
        <v/>
      </c>
      <c r="C86" t="str">
        <f>IF(数据录入!$B86="","",COUNT(数据录入!$D86:$AG86))</f>
        <v/>
      </c>
      <c r="D86" t="str">
        <f>IF(数据录入!$B86="","",SUM(数据录入!$D86:$AG86))</f>
        <v/>
      </c>
      <c r="E86" t="str">
        <f>IF(OR(数据录入!$B86="",数据录入!$B86=0),"",ROUND(D86/(数据录入!$B86*100)*100,1))</f>
        <v/>
      </c>
      <c r="F86" t="str">
        <f>IF(数据录入!$B86="","",IF(ROW()=2,0,N(G85)))</f>
        <v/>
      </c>
      <c r="G86" t="str">
        <f>IF(数据录入!$B86="","",F86+数据录入!$B86)</f>
        <v/>
      </c>
      <c r="H86" t="str">
        <f>IF(数据录入!$B86="","",C86+IF(数据录入!$C86="",0,数据录入!$C86))</f>
        <v/>
      </c>
      <c r="I86" t="str">
        <f>IF(数据录入!$B86="","",H86-1)</f>
        <v/>
      </c>
      <c r="J86" t="str">
        <f>IF(OR(数据录入!$B86="",H86=0),"",ROUND(数据录入!$B86*100/H86,1))</f>
        <v/>
      </c>
    </row>
    <row r="87" ht="18.00" customHeight="true">
      <c r="A87" t="str">
        <f>IF(数据录入!$B87="","",IF(数据录入!$A87=""," ",数据录入!$A87))</f>
        <v/>
      </c>
      <c r="B87" t="str">
        <f>IF(数据录入!$B87="","",数据录入!$B87)</f>
        <v/>
      </c>
      <c r="C87" t="str">
        <f>IF(数据录入!$B87="","",COUNT(数据录入!$D87:$AG87))</f>
        <v/>
      </c>
      <c r="D87" t="str">
        <f>IF(数据录入!$B87="","",SUM(数据录入!$D87:$AG87))</f>
        <v/>
      </c>
      <c r="E87" t="str">
        <f>IF(OR(数据录入!$B87="",数据录入!$B87=0),"",ROUND(D87/(数据录入!$B87*100)*100,1))</f>
        <v/>
      </c>
      <c r="F87" t="str">
        <f>IF(数据录入!$B87="","",IF(ROW()=2,0,N(G86)))</f>
        <v/>
      </c>
      <c r="G87" t="str">
        <f>IF(数据录入!$B87="","",F87+数据录入!$B87)</f>
        <v/>
      </c>
      <c r="H87" t="str">
        <f>IF(数据录入!$B87="","",C87+IF(数据录入!$C87="",0,数据录入!$C87))</f>
        <v/>
      </c>
      <c r="I87" t="str">
        <f>IF(数据录入!$B87="","",H87-1)</f>
        <v/>
      </c>
      <c r="J87" t="str">
        <f>IF(OR(数据录入!$B87="",H87=0),"",ROUND(数据录入!$B87*100/H87,1))</f>
        <v/>
      </c>
    </row>
    <row r="88" ht="18.00" customHeight="true">
      <c r="A88" t="str">
        <f>IF(数据录入!$B88="","",IF(数据录入!$A88=""," ",数据录入!$A88))</f>
        <v/>
      </c>
      <c r="B88" t="str">
        <f>IF(数据录入!$B88="","",数据录入!$B88)</f>
        <v/>
      </c>
      <c r="C88" t="str">
        <f>IF(数据录入!$B88="","",COUNT(数据录入!$D88:$AG88))</f>
        <v/>
      </c>
      <c r="D88" t="str">
        <f>IF(数据录入!$B88="","",SUM(数据录入!$D88:$AG88))</f>
        <v/>
      </c>
      <c r="E88" t="str">
        <f>IF(OR(数据录入!$B88="",数据录入!$B88=0),"",ROUND(D88/(数据录入!$B88*100)*100,1))</f>
        <v/>
      </c>
      <c r="F88" t="str">
        <f>IF(数据录入!$B88="","",IF(ROW()=2,0,N(G87)))</f>
        <v/>
      </c>
      <c r="G88" t="str">
        <f>IF(数据录入!$B88="","",F88+数据录入!$B88)</f>
        <v/>
      </c>
      <c r="H88" t="str">
        <f>IF(数据录入!$B88="","",C88+IF(数据录入!$C88="",0,数据录入!$C88))</f>
        <v/>
      </c>
      <c r="I88" t="str">
        <f>IF(数据录入!$B88="","",H88-1)</f>
        <v/>
      </c>
      <c r="J88" t="str">
        <f>IF(OR(数据录入!$B88="",H88=0),"",ROUND(数据录入!$B88*100/H88,1))</f>
        <v/>
      </c>
    </row>
    <row r="89" ht="18.00" customHeight="true">
      <c r="A89" t="str">
        <f>IF(数据录入!$B89="","",IF(数据录入!$A89=""," ",数据录入!$A89))</f>
        <v/>
      </c>
      <c r="B89" t="str">
        <f>IF(数据录入!$B89="","",数据录入!$B89)</f>
        <v/>
      </c>
      <c r="C89" t="str">
        <f>IF(数据录入!$B89="","",COUNT(数据录入!$D89:$AG89))</f>
        <v/>
      </c>
      <c r="D89" t="str">
        <f>IF(数据录入!$B89="","",SUM(数据录入!$D89:$AG89))</f>
        <v/>
      </c>
      <c r="E89" t="str">
        <f>IF(OR(数据录入!$B89="",数据录入!$B89=0),"",ROUND(D89/(数据录入!$B89*100)*100,1))</f>
        <v/>
      </c>
      <c r="F89" t="str">
        <f>IF(数据录入!$B89="","",IF(ROW()=2,0,N(G88)))</f>
        <v/>
      </c>
      <c r="G89" t="str">
        <f>IF(数据录入!$B89="","",F89+数据录入!$B89)</f>
        <v/>
      </c>
      <c r="H89" t="str">
        <f>IF(数据录入!$B89="","",C89+IF(数据录入!$C89="",0,数据录入!$C89))</f>
        <v/>
      </c>
      <c r="I89" t="str">
        <f>IF(数据录入!$B89="","",H89-1)</f>
        <v/>
      </c>
      <c r="J89" t="str">
        <f>IF(OR(数据录入!$B89="",H89=0),"",ROUND(数据录入!$B89*100/H89,1))</f>
        <v/>
      </c>
    </row>
    <row r="90" ht="18.00" customHeight="true">
      <c r="A90" t="str">
        <f>IF(数据录入!$B90="","",IF(数据录入!$A90=""," ",数据录入!$A90))</f>
        <v/>
      </c>
      <c r="B90" t="str">
        <f>IF(数据录入!$B90="","",数据录入!$B90)</f>
        <v/>
      </c>
      <c r="C90" t="str">
        <f>IF(数据录入!$B90="","",COUNT(数据录入!$D90:$AG90))</f>
        <v/>
      </c>
      <c r="D90" t="str">
        <f>IF(数据录入!$B90="","",SUM(数据录入!$D90:$AG90))</f>
        <v/>
      </c>
      <c r="E90" t="str">
        <f>IF(OR(数据录入!$B90="",数据录入!$B90=0),"",ROUND(D90/(数据录入!$B90*100)*100,1))</f>
        <v/>
      </c>
      <c r="F90" t="str">
        <f>IF(数据录入!$B90="","",IF(ROW()=2,0,N(G89)))</f>
        <v/>
      </c>
      <c r="G90" t="str">
        <f>IF(数据录入!$B90="","",F90+数据录入!$B90)</f>
        <v/>
      </c>
      <c r="H90" t="str">
        <f>IF(数据录入!$B90="","",C90+IF(数据录入!$C90="",0,数据录入!$C90))</f>
        <v/>
      </c>
      <c r="I90" t="str">
        <f>IF(数据录入!$B90="","",H90-1)</f>
        <v/>
      </c>
      <c r="J90" t="str">
        <f>IF(OR(数据录入!$B90="",H90=0),"",ROUND(数据录入!$B90*100/H90,1))</f>
        <v/>
      </c>
    </row>
    <row r="91" ht="18.00" customHeight="true">
      <c r="A91" t="str">
        <f>IF(数据录入!$B91="","",IF(数据录入!$A91=""," ",数据录入!$A91))</f>
        <v/>
      </c>
      <c r="B91" t="str">
        <f>IF(数据录入!$B91="","",数据录入!$B91)</f>
        <v/>
      </c>
      <c r="C91" t="str">
        <f>IF(数据录入!$B91="","",COUNT(数据录入!$D91:$AG91))</f>
        <v/>
      </c>
      <c r="D91" t="str">
        <f>IF(数据录入!$B91="","",SUM(数据录入!$D91:$AG91))</f>
        <v/>
      </c>
      <c r="E91" t="str">
        <f>IF(OR(数据录入!$B91="",数据录入!$B91=0),"",ROUND(D91/(数据录入!$B91*100)*100,1))</f>
        <v/>
      </c>
      <c r="F91" t="str">
        <f>IF(数据录入!$B91="","",IF(ROW()=2,0,N(G90)))</f>
        <v/>
      </c>
      <c r="G91" t="str">
        <f>IF(数据录入!$B91="","",F91+数据录入!$B91)</f>
        <v/>
      </c>
      <c r="H91" t="str">
        <f>IF(数据录入!$B91="","",C91+IF(数据录入!$C91="",0,数据录入!$C91))</f>
        <v/>
      </c>
      <c r="I91" t="str">
        <f>IF(数据录入!$B91="","",H91-1)</f>
        <v/>
      </c>
      <c r="J91" t="str">
        <f>IF(OR(数据录入!$B91="",H91=0),"",ROUND(数据录入!$B91*100/H91,1))</f>
        <v/>
      </c>
    </row>
    <row r="92" ht="18.00" customHeight="true">
      <c r="A92" t="str">
        <f>IF(数据录入!$B92="","",IF(数据录入!$A92=""," ",数据录入!$A92))</f>
        <v/>
      </c>
      <c r="B92" t="str">
        <f>IF(数据录入!$B92="","",数据录入!$B92)</f>
        <v/>
      </c>
      <c r="C92" t="str">
        <f>IF(数据录入!$B92="","",COUNT(数据录入!$D92:$AG92))</f>
        <v/>
      </c>
      <c r="D92" t="str">
        <f>IF(数据录入!$B92="","",SUM(数据录入!$D92:$AG92))</f>
        <v/>
      </c>
      <c r="E92" t="str">
        <f>IF(OR(数据录入!$B92="",数据录入!$B92=0),"",ROUND(D92/(数据录入!$B92*100)*100,1))</f>
        <v/>
      </c>
      <c r="F92" t="str">
        <f>IF(数据录入!$B92="","",IF(ROW()=2,0,N(G91)))</f>
        <v/>
      </c>
      <c r="G92" t="str">
        <f>IF(数据录入!$B92="","",F92+数据录入!$B92)</f>
        <v/>
      </c>
      <c r="H92" t="str">
        <f>IF(数据录入!$B92="","",C92+IF(数据录入!$C92="",0,数据录入!$C92))</f>
        <v/>
      </c>
      <c r="I92" t="str">
        <f>IF(数据录入!$B92="","",H92-1)</f>
        <v/>
      </c>
      <c r="J92" t="str">
        <f>IF(OR(数据录入!$B92="",H92=0),"",ROUND(数据录入!$B92*100/H92,1))</f>
        <v/>
      </c>
    </row>
    <row r="93" ht="18.00" customHeight="true">
      <c r="A93" t="str">
        <f>IF(数据录入!$B93="","",IF(数据录入!$A93=""," ",数据录入!$A93))</f>
        <v/>
      </c>
      <c r="B93" t="str">
        <f>IF(数据录入!$B93="","",数据录入!$B93)</f>
        <v/>
      </c>
      <c r="C93" t="str">
        <f>IF(数据录入!$B93="","",COUNT(数据录入!$D93:$AG93))</f>
        <v/>
      </c>
      <c r="D93" t="str">
        <f>IF(数据录入!$B93="","",SUM(数据录入!$D93:$AG93))</f>
        <v/>
      </c>
      <c r="E93" t="str">
        <f>IF(OR(数据录入!$B93="",数据录入!$B93=0),"",ROUND(D93/(数据录入!$B93*100)*100,1))</f>
        <v/>
      </c>
      <c r="F93" t="str">
        <f>IF(数据录入!$B93="","",IF(ROW()=2,0,N(G92)))</f>
        <v/>
      </c>
      <c r="G93" t="str">
        <f>IF(数据录入!$B93="","",F93+数据录入!$B93)</f>
        <v/>
      </c>
      <c r="H93" t="str">
        <f>IF(数据录入!$B93="","",C93+IF(数据录入!$C93="",0,数据录入!$C93))</f>
        <v/>
      </c>
      <c r="I93" t="str">
        <f>IF(数据录入!$B93="","",H93-1)</f>
        <v/>
      </c>
      <c r="J93" t="str">
        <f>IF(OR(数据录入!$B93="",H93=0),"",ROUND(数据录入!$B93*100/H93,1))</f>
        <v/>
      </c>
    </row>
    <row r="94" ht="18.00" customHeight="true">
      <c r="A94" t="str">
        <f>IF(数据录入!$B94="","",IF(数据录入!$A94=""," ",数据录入!$A94))</f>
        <v/>
      </c>
      <c r="B94" t="str">
        <f>IF(数据录入!$B94="","",数据录入!$B94)</f>
        <v/>
      </c>
      <c r="C94" t="str">
        <f>IF(数据录入!$B94="","",COUNT(数据录入!$D94:$AG94))</f>
        <v/>
      </c>
      <c r="D94" t="str">
        <f>IF(数据录入!$B94="","",SUM(数据录入!$D94:$AG94))</f>
        <v/>
      </c>
      <c r="E94" t="str">
        <f>IF(OR(数据录入!$B94="",数据录入!$B94=0),"",ROUND(D94/(数据录入!$B94*100)*100,1))</f>
        <v/>
      </c>
      <c r="F94" t="str">
        <f>IF(数据录入!$B94="","",IF(ROW()=2,0,N(G93)))</f>
        <v/>
      </c>
      <c r="G94" t="str">
        <f>IF(数据录入!$B94="","",F94+数据录入!$B94)</f>
        <v/>
      </c>
      <c r="H94" t="str">
        <f>IF(数据录入!$B94="","",C94+IF(数据录入!$C94="",0,数据录入!$C94))</f>
        <v/>
      </c>
      <c r="I94" t="str">
        <f>IF(数据录入!$B94="","",H94-1)</f>
        <v/>
      </c>
      <c r="J94" t="str">
        <f>IF(OR(数据录入!$B94="",H94=0),"",ROUND(数据录入!$B94*100/H94,1))</f>
        <v/>
      </c>
    </row>
    <row r="95" ht="18.00" customHeight="true">
      <c r="A95" t="str">
        <f>IF(数据录入!$B95="","",IF(数据录入!$A95=""," ",数据录入!$A95))</f>
        <v/>
      </c>
      <c r="B95" t="str">
        <f>IF(数据录入!$B95="","",数据录入!$B95)</f>
        <v/>
      </c>
      <c r="C95" t="str">
        <f>IF(数据录入!$B95="","",COUNT(数据录入!$D95:$AG95))</f>
        <v/>
      </c>
      <c r="D95" t="str">
        <f>IF(数据录入!$B95="","",SUM(数据录入!$D95:$AG95))</f>
        <v/>
      </c>
      <c r="E95" t="str">
        <f>IF(OR(数据录入!$B95="",数据录入!$B95=0),"",ROUND(D95/(数据录入!$B95*100)*100,1))</f>
        <v/>
      </c>
      <c r="F95" t="str">
        <f>IF(数据录入!$B95="","",IF(ROW()=2,0,N(G94)))</f>
        <v/>
      </c>
      <c r="G95" t="str">
        <f>IF(数据录入!$B95="","",F95+数据录入!$B95)</f>
        <v/>
      </c>
      <c r="H95" t="str">
        <f>IF(数据录入!$B95="","",C95+IF(数据录入!$C95="",0,数据录入!$C95))</f>
        <v/>
      </c>
      <c r="I95" t="str">
        <f>IF(数据录入!$B95="","",H95-1)</f>
        <v/>
      </c>
      <c r="J95" t="str">
        <f>IF(OR(数据录入!$B95="",H95=0),"",ROUND(数据录入!$B95*100/H95,1))</f>
        <v/>
      </c>
    </row>
    <row r="96" ht="18.00" customHeight="true">
      <c r="A96" t="str">
        <f>IF(数据录入!$B96="","",IF(数据录入!$A96=""," ",数据录入!$A96))</f>
        <v/>
      </c>
      <c r="B96" t="str">
        <f>IF(数据录入!$B96="","",数据录入!$B96)</f>
        <v/>
      </c>
      <c r="C96" t="str">
        <f>IF(数据录入!$B96="","",COUNT(数据录入!$D96:$AG96))</f>
        <v/>
      </c>
      <c r="D96" t="str">
        <f>IF(数据录入!$B96="","",SUM(数据录入!$D96:$AG96))</f>
        <v/>
      </c>
      <c r="E96" t="str">
        <f>IF(OR(数据录入!$B96="",数据录入!$B96=0),"",ROUND(D96/(数据录入!$B96*100)*100,1))</f>
        <v/>
      </c>
      <c r="F96" t="str">
        <f>IF(数据录入!$B96="","",IF(ROW()=2,0,N(G95)))</f>
        <v/>
      </c>
      <c r="G96" t="str">
        <f>IF(数据录入!$B96="","",F96+数据录入!$B96)</f>
        <v/>
      </c>
      <c r="H96" t="str">
        <f>IF(数据录入!$B96="","",C96+IF(数据录入!$C96="",0,数据录入!$C96))</f>
        <v/>
      </c>
      <c r="I96" t="str">
        <f>IF(数据录入!$B96="","",H96-1)</f>
        <v/>
      </c>
      <c r="J96" t="str">
        <f>IF(OR(数据录入!$B96="",H96=0),"",ROUND(数据录入!$B96*100/H96,1))</f>
        <v/>
      </c>
    </row>
    <row r="97" ht="18.00" customHeight="true">
      <c r="A97" t="str">
        <f>IF(数据录入!$B97="","",IF(数据录入!$A97=""," ",数据录入!$A97))</f>
        <v/>
      </c>
      <c r="B97" t="str">
        <f>IF(数据录入!$B97="","",数据录入!$B97)</f>
        <v/>
      </c>
      <c r="C97" t="str">
        <f>IF(数据录入!$B97="","",COUNT(数据录入!$D97:$AG97))</f>
        <v/>
      </c>
      <c r="D97" t="str">
        <f>IF(数据录入!$B97="","",SUM(数据录入!$D97:$AG97))</f>
        <v/>
      </c>
      <c r="E97" t="str">
        <f>IF(OR(数据录入!$B97="",数据录入!$B97=0),"",ROUND(D97/(数据录入!$B97*100)*100,1))</f>
        <v/>
      </c>
      <c r="F97" t="str">
        <f>IF(数据录入!$B97="","",IF(ROW()=2,0,N(G96)))</f>
        <v/>
      </c>
      <c r="G97" t="str">
        <f>IF(数据录入!$B97="","",F97+数据录入!$B97)</f>
        <v/>
      </c>
      <c r="H97" t="str">
        <f>IF(数据录入!$B97="","",C97+IF(数据录入!$C97="",0,数据录入!$C97))</f>
        <v/>
      </c>
      <c r="I97" t="str">
        <f>IF(数据录入!$B97="","",H97-1)</f>
        <v/>
      </c>
      <c r="J97" t="str">
        <f>IF(OR(数据录入!$B97="",H97=0),"",ROUND(数据录入!$B97*100/H97,1))</f>
        <v/>
      </c>
    </row>
    <row r="98" ht="18.00" customHeight="true">
      <c r="A98" t="str">
        <f>IF(数据录入!$B98="","",IF(数据录入!$A98=""," ",数据录入!$A98))</f>
        <v/>
      </c>
      <c r="B98" t="str">
        <f>IF(数据录入!$B98="","",数据录入!$B98)</f>
        <v/>
      </c>
      <c r="C98" t="str">
        <f>IF(数据录入!$B98="","",COUNT(数据录入!$D98:$AG98))</f>
        <v/>
      </c>
      <c r="D98" t="str">
        <f>IF(数据录入!$B98="","",SUM(数据录入!$D98:$AG98))</f>
        <v/>
      </c>
      <c r="E98" t="str">
        <f>IF(OR(数据录入!$B98="",数据录入!$B98=0),"",ROUND(D98/(数据录入!$B98*100)*100,1))</f>
        <v/>
      </c>
      <c r="F98" t="str">
        <f>IF(数据录入!$B98="","",IF(ROW()=2,0,N(G97)))</f>
        <v/>
      </c>
      <c r="G98" t="str">
        <f>IF(数据录入!$B98="","",F98+数据录入!$B98)</f>
        <v/>
      </c>
      <c r="H98" t="str">
        <f>IF(数据录入!$B98="","",C98+IF(数据录入!$C98="",0,数据录入!$C98))</f>
        <v/>
      </c>
      <c r="I98" t="str">
        <f>IF(数据录入!$B98="","",H98-1)</f>
        <v/>
      </c>
      <c r="J98" t="str">
        <f>IF(OR(数据录入!$B98="",H98=0),"",ROUND(数据录入!$B98*100/H98,1))</f>
        <v/>
      </c>
    </row>
    <row r="99" ht="18.00" customHeight="true">
      <c r="A99" t="str">
        <f>IF(数据录入!$B99="","",IF(数据录入!$A99=""," ",数据录入!$A99))</f>
        <v/>
      </c>
      <c r="B99" t="str">
        <f>IF(数据录入!$B99="","",数据录入!$B99)</f>
        <v/>
      </c>
      <c r="C99" t="str">
        <f>IF(数据录入!$B99="","",COUNT(数据录入!$D99:$AG99))</f>
        <v/>
      </c>
      <c r="D99" t="str">
        <f>IF(数据录入!$B99="","",SUM(数据录入!$D99:$AG99))</f>
        <v/>
      </c>
      <c r="E99" t="str">
        <f>IF(OR(数据录入!$B99="",数据录入!$B99=0),"",ROUND(D99/(数据录入!$B99*100)*100,1))</f>
        <v/>
      </c>
      <c r="F99" t="str">
        <f>IF(数据录入!$B99="","",IF(ROW()=2,0,N(G98)))</f>
        <v/>
      </c>
      <c r="G99" t="str">
        <f>IF(数据录入!$B99="","",F99+数据录入!$B99)</f>
        <v/>
      </c>
      <c r="H99" t="str">
        <f>IF(数据录入!$B99="","",C99+IF(数据录入!$C99="",0,数据录入!$C99))</f>
        <v/>
      </c>
      <c r="I99" t="str">
        <f>IF(数据录入!$B99="","",H99-1)</f>
        <v/>
      </c>
      <c r="J99" t="str">
        <f>IF(OR(数据录入!$B99="",H99=0),"",ROUND(数据录入!$B99*100/H99,1))</f>
        <v/>
      </c>
    </row>
    <row r="100" ht="18.00" customHeight="true">
      <c r="A100" t="str">
        <f>IF(数据录入!$B100="","",IF(数据录入!$A100=""," ",数据录入!$A100))</f>
        <v/>
      </c>
      <c r="B100" t="str">
        <f>IF(数据录入!$B100="","",数据录入!$B100)</f>
        <v/>
      </c>
      <c r="C100" t="str">
        <f>IF(数据录入!$B100="","",COUNT(数据录入!$D100:$AG100))</f>
        <v/>
      </c>
      <c r="D100" t="str">
        <f>IF(数据录入!$B100="","",SUM(数据录入!$D100:$AG100))</f>
        <v/>
      </c>
      <c r="E100" t="str">
        <f>IF(OR(数据录入!$B100="",数据录入!$B100=0),"",ROUND(D100/(数据录入!$B100*100)*100,1))</f>
        <v/>
      </c>
      <c r="F100" t="str">
        <f>IF(数据录入!$B100="","",IF(ROW()=2,0,N(G99)))</f>
        <v/>
      </c>
      <c r="G100" t="str">
        <f>IF(数据录入!$B100="","",F100+数据录入!$B100)</f>
        <v/>
      </c>
      <c r="H100" t="str">
        <f>IF(数据录入!$B100="","",C100+IF(数据录入!$C100="",0,数据录入!$C100))</f>
        <v/>
      </c>
      <c r="I100" t="str">
        <f>IF(数据录入!$B100="","",H100-1)</f>
        <v/>
      </c>
      <c r="J100" t="str">
        <f>IF(OR(数据录入!$B100="",H100=0),"",ROUND(数据录入!$B100*100/H100,1))</f>
        <v/>
      </c>
    </row>
    <row r="101" ht="18.00" customHeight="true">
      <c r="A101" t="str">
        <f>IF(数据录入!$B101="","",IF(数据录入!$A101=""," ",数据录入!$A101))</f>
        <v/>
      </c>
      <c r="B101" t="str">
        <f>IF(数据录入!$B101="","",数据录入!$B101)</f>
        <v/>
      </c>
      <c r="C101" t="str">
        <f>IF(数据录入!$B101="","",COUNT(数据录入!$D101:$AG101))</f>
        <v/>
      </c>
      <c r="D101" t="str">
        <f>IF(数据录入!$B101="","",SUM(数据录入!$D101:$AG101))</f>
        <v/>
      </c>
      <c r="E101" t="str">
        <f>IF(OR(数据录入!$B101="",数据录入!$B101=0),"",ROUND(D101/(数据录入!$B101*100)*100,1))</f>
        <v/>
      </c>
      <c r="F101" t="str">
        <f>IF(数据录入!$B101="","",IF(ROW()=2,0,N(G100)))</f>
        <v/>
      </c>
      <c r="G101" t="str">
        <f>IF(数据录入!$B101="","",F101+数据录入!$B101)</f>
        <v/>
      </c>
      <c r="H101" t="str">
        <f>IF(数据录入!$B101="","",C101+IF(数据录入!$C101="",0,数据录入!$C101))</f>
        <v/>
      </c>
      <c r="I101" t="str">
        <f>IF(数据录入!$B101="","",H101-1)</f>
        <v/>
      </c>
      <c r="J101" t="str">
        <f>IF(OR(数据录入!$B101="",H101=0),"",ROUND(数据录入!$B101*100/H101,1))</f>
        <v/>
      </c>
    </row>
    <row r="102" ht="18.00" customHeight="true">
      <c r="A102" t="str">
        <f>IF(数据录入!$B102="","",IF(数据录入!$A102=""," ",数据录入!$A102))</f>
        <v/>
      </c>
      <c r="B102" t="str">
        <f>IF(数据录入!$B102="","",数据录入!$B102)</f>
        <v/>
      </c>
      <c r="C102" t="str">
        <f>IF(数据录入!$B102="","",COUNT(数据录入!$D102:$AG102))</f>
        <v/>
      </c>
      <c r="D102" t="str">
        <f>IF(数据录入!$B102="","",SUM(数据录入!$D102:$AG102))</f>
        <v/>
      </c>
      <c r="E102" t="str">
        <f>IF(OR(数据录入!$B102="",数据录入!$B102=0),"",ROUND(D102/(数据录入!$B102*100)*100,1))</f>
        <v/>
      </c>
      <c r="F102" t="str">
        <f>IF(数据录入!$B102="","",IF(ROW()=2,0,N(G101)))</f>
        <v/>
      </c>
      <c r="G102" t="str">
        <f>IF(数据录入!$B102="","",F102+数据录入!$B102)</f>
        <v/>
      </c>
      <c r="H102" t="str">
        <f>IF(数据录入!$B102="","",C102+IF(数据录入!$C102="",0,数据录入!$C102))</f>
        <v/>
      </c>
      <c r="I102" t="str">
        <f>IF(数据录入!$B102="","",H102-1)</f>
        <v/>
      </c>
      <c r="J102" t="str">
        <f>IF(OR(数据录入!$B102="",H102=0),"",ROUND(数据录入!$B102*100/H102,1))</f>
        <v/>
      </c>
    </row>
    <row r="103" ht="18.00" customHeight="true">
      <c r="A103" t="str">
        <f>IF(数据录入!$B103="","",IF(数据录入!$A103=""," ",数据录入!$A103))</f>
        <v/>
      </c>
      <c r="B103" t="str">
        <f>IF(数据录入!$B103="","",数据录入!$B103)</f>
        <v/>
      </c>
      <c r="C103" t="str">
        <f>IF(数据录入!$B103="","",COUNT(数据录入!$D103:$AG103))</f>
        <v/>
      </c>
      <c r="D103" t="str">
        <f>IF(数据录入!$B103="","",SUM(数据录入!$D103:$AG103))</f>
        <v/>
      </c>
      <c r="E103" t="str">
        <f>IF(OR(数据录入!$B103="",数据录入!$B103=0),"",ROUND(D103/(数据录入!$B103*100)*100,1))</f>
        <v/>
      </c>
      <c r="F103" t="str">
        <f>IF(数据录入!$B103="","",IF(ROW()=2,0,N(G102)))</f>
        <v/>
      </c>
      <c r="G103" t="str">
        <f>IF(数据录入!$B103="","",F103+数据录入!$B103)</f>
        <v/>
      </c>
      <c r="H103" t="str">
        <f>IF(数据录入!$B103="","",C103+IF(数据录入!$C103="",0,数据录入!$C103))</f>
        <v/>
      </c>
      <c r="I103" t="str">
        <f>IF(数据录入!$B103="","",H103-1)</f>
        <v/>
      </c>
      <c r="J103" t="str">
        <f>IF(OR(数据录入!$B103="",H103=0),"",ROUND(数据录入!$B103*100/H103,1))</f>
        <v/>
      </c>
    </row>
    <row r="104" ht="18.00" customHeight="true">
      <c r="A104" t="str">
        <f>IF(数据录入!$B104="","",IF(数据录入!$A104=""," ",数据录入!$A104))</f>
        <v/>
      </c>
      <c r="B104" t="str">
        <f>IF(数据录入!$B104="","",数据录入!$B104)</f>
        <v/>
      </c>
      <c r="C104" t="str">
        <f>IF(数据录入!$B104="","",COUNT(数据录入!$D104:$AG104))</f>
        <v/>
      </c>
      <c r="D104" t="str">
        <f>IF(数据录入!$B104="","",SUM(数据录入!$D104:$AG104))</f>
        <v/>
      </c>
      <c r="E104" t="str">
        <f>IF(OR(数据录入!$B104="",数据录入!$B104=0),"",ROUND(D104/(数据录入!$B104*100)*100,1))</f>
        <v/>
      </c>
      <c r="F104" t="str">
        <f>IF(数据录入!$B104="","",IF(ROW()=2,0,N(G103)))</f>
        <v/>
      </c>
      <c r="G104" t="str">
        <f>IF(数据录入!$B104="","",F104+数据录入!$B104)</f>
        <v/>
      </c>
      <c r="H104" t="str">
        <f>IF(数据录入!$B104="","",C104+IF(数据录入!$C104="",0,数据录入!$C104))</f>
        <v/>
      </c>
      <c r="I104" t="str">
        <f>IF(数据录入!$B104="","",H104-1)</f>
        <v/>
      </c>
      <c r="J104" t="str">
        <f>IF(OR(数据录入!$B104="",H104=0),"",ROUND(数据录入!$B104*100/H104,1))</f>
        <v/>
      </c>
    </row>
    <row r="105" ht="18.00" customHeight="true">
      <c r="A105" t="str">
        <f>IF(数据录入!$B105="","",IF(数据录入!$A105=""," ",数据录入!$A105))</f>
        <v/>
      </c>
      <c r="B105" t="str">
        <f>IF(数据录入!$B105="","",数据录入!$B105)</f>
        <v/>
      </c>
      <c r="C105" t="str">
        <f>IF(数据录入!$B105="","",COUNT(数据录入!$D105:$AG105))</f>
        <v/>
      </c>
      <c r="D105" t="str">
        <f>IF(数据录入!$B105="","",SUM(数据录入!$D105:$AG105))</f>
        <v/>
      </c>
      <c r="E105" t="str">
        <f>IF(OR(数据录入!$B105="",数据录入!$B105=0),"",ROUND(D105/(数据录入!$B105*100)*100,1))</f>
        <v/>
      </c>
      <c r="F105" t="str">
        <f>IF(数据录入!$B105="","",IF(ROW()=2,0,N(G104)))</f>
        <v/>
      </c>
      <c r="G105" t="str">
        <f>IF(数据录入!$B105="","",F105+数据录入!$B105)</f>
        <v/>
      </c>
      <c r="H105" t="str">
        <f>IF(数据录入!$B105="","",C105+IF(数据录入!$C105="",0,数据录入!$C105))</f>
        <v/>
      </c>
      <c r="I105" t="str">
        <f>IF(数据录入!$B105="","",H105-1)</f>
        <v/>
      </c>
      <c r="J105" t="str">
        <f>IF(OR(数据录入!$B105="",H105=0),"",ROUND(数据录入!$B105*100/H105,1))</f>
        <v/>
      </c>
    </row>
    <row r="106" ht="18.00" customHeight="true">
      <c r="A106" t="str">
        <f>IF(数据录入!$B106="","",IF(数据录入!$A106=""," ",数据录入!$A106))</f>
        <v/>
      </c>
      <c r="B106" t="str">
        <f>IF(数据录入!$B106="","",数据录入!$B106)</f>
        <v/>
      </c>
      <c r="C106" t="str">
        <f>IF(数据录入!$B106="","",COUNT(数据录入!$D106:$AG106))</f>
        <v/>
      </c>
      <c r="D106" t="str">
        <f>IF(数据录入!$B106="","",SUM(数据录入!$D106:$AG106))</f>
        <v/>
      </c>
      <c r="E106" t="str">
        <f>IF(OR(数据录入!$B106="",数据录入!$B106=0),"",ROUND(D106/(数据录入!$B106*100)*100,1))</f>
        <v/>
      </c>
      <c r="F106" t="str">
        <f>IF(数据录入!$B106="","",IF(ROW()=2,0,N(G105)))</f>
        <v/>
      </c>
      <c r="G106" t="str">
        <f>IF(数据录入!$B106="","",F106+数据录入!$B106)</f>
        <v/>
      </c>
      <c r="H106" t="str">
        <f>IF(数据录入!$B106="","",C106+IF(数据录入!$C106="",0,数据录入!$C106))</f>
        <v/>
      </c>
      <c r="I106" t="str">
        <f>IF(数据录入!$B106="","",H106-1)</f>
        <v/>
      </c>
      <c r="J106" t="str">
        <f>IF(OR(数据录入!$B106="",H106=0),"",ROUND(数据录入!$B106*100/H106,1))</f>
        <v/>
      </c>
    </row>
    <row r="107" ht="18.00" customHeight="true">
      <c r="A107" t="str">
        <f>IF(数据录入!$B107="","",IF(数据录入!$A107=""," ",数据录入!$A107))</f>
        <v/>
      </c>
      <c r="B107" t="str">
        <f>IF(数据录入!$B107="","",数据录入!$B107)</f>
        <v/>
      </c>
      <c r="C107" t="str">
        <f>IF(数据录入!$B107="","",COUNT(数据录入!$D107:$AG107))</f>
        <v/>
      </c>
      <c r="D107" t="str">
        <f>IF(数据录入!$B107="","",SUM(数据录入!$D107:$AG107))</f>
        <v/>
      </c>
      <c r="E107" t="str">
        <f>IF(OR(数据录入!$B107="",数据录入!$B107=0),"",ROUND(D107/(数据录入!$B107*100)*100,1))</f>
        <v/>
      </c>
      <c r="F107" t="str">
        <f>IF(数据录入!$B107="","",IF(ROW()=2,0,N(G106)))</f>
        <v/>
      </c>
      <c r="G107" t="str">
        <f>IF(数据录入!$B107="","",F107+数据录入!$B107)</f>
        <v/>
      </c>
      <c r="H107" t="str">
        <f>IF(数据录入!$B107="","",C107+IF(数据录入!$C107="",0,数据录入!$C107))</f>
        <v/>
      </c>
      <c r="I107" t="str">
        <f>IF(数据录入!$B107="","",H107-1)</f>
        <v/>
      </c>
      <c r="J107" t="str">
        <f>IF(OR(数据录入!$B107="",H107=0),"",ROUND(数据录入!$B107*100/H107,1))</f>
        <v/>
      </c>
    </row>
    <row r="108" ht="18.00" customHeight="true">
      <c r="A108" t="str">
        <f>IF(数据录入!$B108="","",IF(数据录入!$A108=""," ",数据录入!$A108))</f>
        <v/>
      </c>
      <c r="B108" t="str">
        <f>IF(数据录入!$B108="","",数据录入!$B108)</f>
        <v/>
      </c>
      <c r="C108" t="str">
        <f>IF(数据录入!$B108="","",COUNT(数据录入!$D108:$AG108))</f>
        <v/>
      </c>
      <c r="D108" t="str">
        <f>IF(数据录入!$B108="","",SUM(数据录入!$D108:$AG108))</f>
        <v/>
      </c>
      <c r="E108" t="str">
        <f>IF(OR(数据录入!$B108="",数据录入!$B108=0),"",ROUND(D108/(数据录入!$B108*100)*100,1))</f>
        <v/>
      </c>
      <c r="F108" t="str">
        <f>IF(数据录入!$B108="","",IF(ROW()=2,0,N(G107)))</f>
        <v/>
      </c>
      <c r="G108" t="str">
        <f>IF(数据录入!$B108="","",F108+数据录入!$B108)</f>
        <v/>
      </c>
      <c r="H108" t="str">
        <f>IF(数据录入!$B108="","",C108+IF(数据录入!$C108="",0,数据录入!$C108))</f>
        <v/>
      </c>
      <c r="I108" t="str">
        <f>IF(数据录入!$B108="","",H108-1)</f>
        <v/>
      </c>
      <c r="J108" t="str">
        <f>IF(OR(数据录入!$B108="",H108=0),"",ROUND(数据录入!$B108*100/H108,1))</f>
        <v/>
      </c>
    </row>
    <row r="109" ht="18.00" customHeight="true">
      <c r="A109" t="str">
        <f>IF(数据录入!$B109="","",IF(数据录入!$A109=""," ",数据录入!$A109))</f>
        <v/>
      </c>
      <c r="B109" t="str">
        <f>IF(数据录入!$B109="","",数据录入!$B109)</f>
        <v/>
      </c>
      <c r="C109" t="str">
        <f>IF(数据录入!$B109="","",COUNT(数据录入!$D109:$AG109))</f>
        <v/>
      </c>
      <c r="D109" t="str">
        <f>IF(数据录入!$B109="","",SUM(数据录入!$D109:$AG109))</f>
        <v/>
      </c>
      <c r="E109" t="str">
        <f>IF(OR(数据录入!$B109="",数据录入!$B109=0),"",ROUND(D109/(数据录入!$B109*100)*100,1))</f>
        <v/>
      </c>
      <c r="F109" t="str">
        <f>IF(数据录入!$B109="","",IF(ROW()=2,0,N(G108)))</f>
        <v/>
      </c>
      <c r="G109" t="str">
        <f>IF(数据录入!$B109="","",F109+数据录入!$B109)</f>
        <v/>
      </c>
      <c r="H109" t="str">
        <f>IF(数据录入!$B109="","",C109+IF(数据录入!$C109="",0,数据录入!$C109))</f>
        <v/>
      </c>
      <c r="I109" t="str">
        <f>IF(数据录入!$B109="","",H109-1)</f>
        <v/>
      </c>
      <c r="J109" t="str">
        <f>IF(OR(数据录入!$B109="",H109=0),"",ROUND(数据录入!$B109*100/H109,1))</f>
        <v/>
      </c>
    </row>
    <row r="110" ht="18.00" customHeight="true">
      <c r="A110" t="str">
        <f>IF(数据录入!$B110="","",IF(数据录入!$A110=""," ",数据录入!$A110))</f>
        <v/>
      </c>
      <c r="B110" t="str">
        <f>IF(数据录入!$B110="","",数据录入!$B110)</f>
        <v/>
      </c>
      <c r="C110" t="str">
        <f>IF(数据录入!$B110="","",COUNT(数据录入!$D110:$AG110))</f>
        <v/>
      </c>
      <c r="D110" t="str">
        <f>IF(数据录入!$B110="","",SUM(数据录入!$D110:$AG110))</f>
        <v/>
      </c>
      <c r="E110" t="str">
        <f>IF(OR(数据录入!$B110="",数据录入!$B110=0),"",ROUND(D110/(数据录入!$B110*100)*100,1))</f>
        <v/>
      </c>
      <c r="F110" t="str">
        <f>IF(数据录入!$B110="","",IF(ROW()=2,0,N(G109)))</f>
        <v/>
      </c>
      <c r="G110" t="str">
        <f>IF(数据录入!$B110="","",F110+数据录入!$B110)</f>
        <v/>
      </c>
      <c r="H110" t="str">
        <f>IF(数据录入!$B110="","",C110+IF(数据录入!$C110="",0,数据录入!$C110))</f>
        <v/>
      </c>
      <c r="I110" t="str">
        <f>IF(数据录入!$B110="","",H110-1)</f>
        <v/>
      </c>
      <c r="J110" t="str">
        <f>IF(OR(数据录入!$B110="",H110=0),"",ROUND(数据录入!$B110*100/H110,1))</f>
        <v/>
      </c>
    </row>
    <row r="111" ht="18.00" customHeight="true">
      <c r="A111" t="str">
        <f>IF(数据录入!$B111="","",IF(数据录入!$A111=""," ",数据录入!$A111))</f>
        <v/>
      </c>
      <c r="B111" t="str">
        <f>IF(数据录入!$B111="","",数据录入!$B111)</f>
        <v/>
      </c>
      <c r="C111" t="str">
        <f>IF(数据录入!$B111="","",COUNT(数据录入!$D111:$AG111))</f>
        <v/>
      </c>
      <c r="D111" t="str">
        <f>IF(数据录入!$B111="","",SUM(数据录入!$D111:$AG111))</f>
        <v/>
      </c>
      <c r="E111" t="str">
        <f>IF(OR(数据录入!$B111="",数据录入!$B111=0),"",ROUND(D111/(数据录入!$B111*100)*100,1))</f>
        <v/>
      </c>
      <c r="F111" t="str">
        <f>IF(数据录入!$B111="","",IF(ROW()=2,0,N(G110)))</f>
        <v/>
      </c>
      <c r="G111" t="str">
        <f>IF(数据录入!$B111="","",F111+数据录入!$B111)</f>
        <v/>
      </c>
      <c r="H111" t="str">
        <f>IF(数据录入!$B111="","",C111+IF(数据录入!$C111="",0,数据录入!$C111))</f>
        <v/>
      </c>
      <c r="I111" t="str">
        <f>IF(数据录入!$B111="","",H111-1)</f>
        <v/>
      </c>
      <c r="J111" t="str">
        <f>IF(OR(数据录入!$B111="",H111=0),"",ROUND(数据录入!$B111*100/H111,1))</f>
        <v/>
      </c>
    </row>
    <row r="112" ht="18.00" customHeight="true">
      <c r="A112" t="str">
        <f>IF(数据录入!$B112="","",IF(数据录入!$A112=""," ",数据录入!$A112))</f>
        <v/>
      </c>
      <c r="B112" t="str">
        <f>IF(数据录入!$B112="","",数据录入!$B112)</f>
        <v/>
      </c>
      <c r="C112" t="str">
        <f>IF(数据录入!$B112="","",COUNT(数据录入!$D112:$AG112))</f>
        <v/>
      </c>
      <c r="D112" t="str">
        <f>IF(数据录入!$B112="","",SUM(数据录入!$D112:$AG112))</f>
        <v/>
      </c>
      <c r="E112" t="str">
        <f>IF(OR(数据录入!$B112="",数据录入!$B112=0),"",ROUND(D112/(数据录入!$B112*100)*100,1))</f>
        <v/>
      </c>
      <c r="F112" t="str">
        <f>IF(数据录入!$B112="","",IF(ROW()=2,0,N(G111)))</f>
        <v/>
      </c>
      <c r="G112" t="str">
        <f>IF(数据录入!$B112="","",F112+数据录入!$B112)</f>
        <v/>
      </c>
      <c r="H112" t="str">
        <f>IF(数据录入!$B112="","",C112+IF(数据录入!$C112="",0,数据录入!$C112))</f>
        <v/>
      </c>
      <c r="I112" t="str">
        <f>IF(数据录入!$B112="","",H112-1)</f>
        <v/>
      </c>
      <c r="J112" t="str">
        <f>IF(OR(数据录入!$B112="",H112=0),"",ROUND(数据录入!$B112*100/H112,1))</f>
        <v/>
      </c>
    </row>
    <row r="113" ht="18.00" customHeight="true">
      <c r="A113" t="str">
        <f>IF(数据录入!$B113="","",IF(数据录入!$A113=""," ",数据录入!$A113))</f>
        <v/>
      </c>
      <c r="B113" t="str">
        <f>IF(数据录入!$B113="","",数据录入!$B113)</f>
        <v/>
      </c>
      <c r="C113" t="str">
        <f>IF(数据录入!$B113="","",COUNT(数据录入!$D113:$AG113))</f>
        <v/>
      </c>
      <c r="D113" t="str">
        <f>IF(数据录入!$B113="","",SUM(数据录入!$D113:$AG113))</f>
        <v/>
      </c>
      <c r="E113" t="str">
        <f>IF(OR(数据录入!$B113="",数据录入!$B113=0),"",ROUND(D113/(数据录入!$B113*100)*100,1))</f>
        <v/>
      </c>
      <c r="F113" t="str">
        <f>IF(数据录入!$B113="","",IF(ROW()=2,0,N(G112)))</f>
        <v/>
      </c>
      <c r="G113" t="str">
        <f>IF(数据录入!$B113="","",F113+数据录入!$B113)</f>
        <v/>
      </c>
      <c r="H113" t="str">
        <f>IF(数据录入!$B113="","",C113+IF(数据录入!$C113="",0,数据录入!$C113))</f>
        <v/>
      </c>
      <c r="I113" t="str">
        <f>IF(数据录入!$B113="","",H113-1)</f>
        <v/>
      </c>
      <c r="J113" t="str">
        <f>IF(OR(数据录入!$B113="",H113=0),"",ROUND(数据录入!$B113*100/H113,1))</f>
        <v/>
      </c>
    </row>
    <row r="114" ht="18.00" customHeight="true">
      <c r="A114" t="str">
        <f>IF(数据录入!$B114="","",IF(数据录入!$A114=""," ",数据录入!$A114))</f>
        <v/>
      </c>
      <c r="B114" t="str">
        <f>IF(数据录入!$B114="","",数据录入!$B114)</f>
        <v/>
      </c>
      <c r="C114" t="str">
        <f>IF(数据录入!$B114="","",COUNT(数据录入!$D114:$AG114))</f>
        <v/>
      </c>
      <c r="D114" t="str">
        <f>IF(数据录入!$B114="","",SUM(数据录入!$D114:$AG114))</f>
        <v/>
      </c>
      <c r="E114" t="str">
        <f>IF(OR(数据录入!$B114="",数据录入!$B114=0),"",ROUND(D114/(数据录入!$B114*100)*100,1))</f>
        <v/>
      </c>
      <c r="F114" t="str">
        <f>IF(数据录入!$B114="","",IF(ROW()=2,0,N(G113)))</f>
        <v/>
      </c>
      <c r="G114" t="str">
        <f>IF(数据录入!$B114="","",F114+数据录入!$B114)</f>
        <v/>
      </c>
      <c r="H114" t="str">
        <f>IF(数据录入!$B114="","",C114+IF(数据录入!$C114="",0,数据录入!$C114))</f>
        <v/>
      </c>
      <c r="I114" t="str">
        <f>IF(数据录入!$B114="","",H114-1)</f>
        <v/>
      </c>
      <c r="J114" t="str">
        <f>IF(OR(数据录入!$B114="",H114=0),"",ROUND(数据录入!$B114*100/H114,1))</f>
        <v/>
      </c>
    </row>
    <row r="115" ht="18.00" customHeight="true">
      <c r="A115" t="str">
        <f>IF(数据录入!$B115="","",IF(数据录入!$A115=""," ",数据录入!$A115))</f>
        <v/>
      </c>
      <c r="B115" t="str">
        <f>IF(数据录入!$B115="","",数据录入!$B115)</f>
        <v/>
      </c>
      <c r="C115" t="str">
        <f>IF(数据录入!$B115="","",COUNT(数据录入!$D115:$AG115))</f>
        <v/>
      </c>
      <c r="D115" t="str">
        <f>IF(数据录入!$B115="","",SUM(数据录入!$D115:$AG115))</f>
        <v/>
      </c>
      <c r="E115" t="str">
        <f>IF(OR(数据录入!$B115="",数据录入!$B115=0),"",ROUND(D115/(数据录入!$B115*100)*100,1))</f>
        <v/>
      </c>
      <c r="F115" t="str">
        <f>IF(数据录入!$B115="","",IF(ROW()=2,0,N(G114)))</f>
        <v/>
      </c>
      <c r="G115" t="str">
        <f>IF(数据录入!$B115="","",F115+数据录入!$B115)</f>
        <v/>
      </c>
      <c r="H115" t="str">
        <f>IF(数据录入!$B115="","",C115+IF(数据录入!$C115="",0,数据录入!$C115))</f>
        <v/>
      </c>
      <c r="I115" t="str">
        <f>IF(数据录入!$B115="","",H115-1)</f>
        <v/>
      </c>
      <c r="J115" t="str">
        <f>IF(OR(数据录入!$B115="",H115=0),"",ROUND(数据录入!$B115*100/H115,1))</f>
        <v/>
      </c>
    </row>
    <row r="116" ht="18.00" customHeight="true">
      <c r="A116" t="str">
        <f>IF(数据录入!$B116="","",IF(数据录入!$A116=""," ",数据录入!$A116))</f>
        <v/>
      </c>
      <c r="B116" t="str">
        <f>IF(数据录入!$B116="","",数据录入!$B116)</f>
        <v/>
      </c>
      <c r="C116" t="str">
        <f>IF(数据录入!$B116="","",COUNT(数据录入!$D116:$AG116))</f>
        <v/>
      </c>
      <c r="D116" t="str">
        <f>IF(数据录入!$B116="","",SUM(数据录入!$D116:$AG116))</f>
        <v/>
      </c>
      <c r="E116" t="str">
        <f>IF(OR(数据录入!$B116="",数据录入!$B116=0),"",ROUND(D116/(数据录入!$B116*100)*100,1))</f>
        <v/>
      </c>
      <c r="F116" t="str">
        <f>IF(数据录入!$B116="","",IF(ROW()=2,0,N(G115)))</f>
        <v/>
      </c>
      <c r="G116" t="str">
        <f>IF(数据录入!$B116="","",F116+数据录入!$B116)</f>
        <v/>
      </c>
      <c r="H116" t="str">
        <f>IF(数据录入!$B116="","",C116+IF(数据录入!$C116="",0,数据录入!$C116))</f>
        <v/>
      </c>
      <c r="I116" t="str">
        <f>IF(数据录入!$B116="","",H116-1)</f>
        <v/>
      </c>
      <c r="J116" t="str">
        <f>IF(OR(数据录入!$B116="",H116=0),"",ROUND(数据录入!$B116*100/H116,1))</f>
        <v/>
      </c>
    </row>
    <row r="117" ht="18.00" customHeight="true">
      <c r="A117" t="str">
        <f>IF(数据录入!$B117="","",IF(数据录入!$A117=""," ",数据录入!$A117))</f>
        <v/>
      </c>
      <c r="B117" t="str">
        <f>IF(数据录入!$B117="","",数据录入!$B117)</f>
        <v/>
      </c>
      <c r="C117" t="str">
        <f>IF(数据录入!$B117="","",COUNT(数据录入!$D117:$AG117))</f>
        <v/>
      </c>
      <c r="D117" t="str">
        <f>IF(数据录入!$B117="","",SUM(数据录入!$D117:$AG117))</f>
        <v/>
      </c>
      <c r="E117" t="str">
        <f>IF(OR(数据录入!$B117="",数据录入!$B117=0),"",ROUND(D117/(数据录入!$B117*100)*100,1))</f>
        <v/>
      </c>
      <c r="F117" t="str">
        <f>IF(数据录入!$B117="","",IF(ROW()=2,0,N(G116)))</f>
        <v/>
      </c>
      <c r="G117" t="str">
        <f>IF(数据录入!$B117="","",F117+数据录入!$B117)</f>
        <v/>
      </c>
      <c r="H117" t="str">
        <f>IF(数据录入!$B117="","",C117+IF(数据录入!$C117="",0,数据录入!$C117))</f>
        <v/>
      </c>
      <c r="I117" t="str">
        <f>IF(数据录入!$B117="","",H117-1)</f>
        <v/>
      </c>
      <c r="J117" t="str">
        <f>IF(OR(数据录入!$B117="",H117=0),"",ROUND(数据录入!$B117*100/H117,1))</f>
        <v/>
      </c>
    </row>
    <row r="118" ht="18.00" customHeight="true">
      <c r="A118" t="str">
        <f>IF(数据录入!$B118="","",IF(数据录入!$A118=""," ",数据录入!$A118))</f>
        <v/>
      </c>
      <c r="B118" t="str">
        <f>IF(数据录入!$B118="","",数据录入!$B118)</f>
        <v/>
      </c>
      <c r="C118" t="str">
        <f>IF(数据录入!$B118="","",COUNT(数据录入!$D118:$AG118))</f>
        <v/>
      </c>
      <c r="D118" t="str">
        <f>IF(数据录入!$B118="","",SUM(数据录入!$D118:$AG118))</f>
        <v/>
      </c>
      <c r="E118" t="str">
        <f>IF(OR(数据录入!$B118="",数据录入!$B118=0),"",ROUND(D118/(数据录入!$B118*100)*100,1))</f>
        <v/>
      </c>
      <c r="F118" t="str">
        <f>IF(数据录入!$B118="","",IF(ROW()=2,0,N(G117)))</f>
        <v/>
      </c>
      <c r="G118" t="str">
        <f>IF(数据录入!$B118="","",F118+数据录入!$B118)</f>
        <v/>
      </c>
      <c r="H118" t="str">
        <f>IF(数据录入!$B118="","",C118+IF(数据录入!$C118="",0,数据录入!$C118))</f>
        <v/>
      </c>
      <c r="I118" t="str">
        <f>IF(数据录入!$B118="","",H118-1)</f>
        <v/>
      </c>
      <c r="J118" t="str">
        <f>IF(OR(数据录入!$B118="",H118=0),"",ROUND(数据录入!$B118*100/H118,1))</f>
        <v/>
      </c>
    </row>
    <row r="119" ht="18.00" customHeight="true">
      <c r="A119" t="str">
        <f>IF(数据录入!$B119="","",IF(数据录入!$A119=""," ",数据录入!$A119))</f>
        <v/>
      </c>
      <c r="B119" t="str">
        <f>IF(数据录入!$B119="","",数据录入!$B119)</f>
        <v/>
      </c>
      <c r="C119" t="str">
        <f>IF(数据录入!$B119="","",COUNT(数据录入!$D119:$AG119))</f>
        <v/>
      </c>
      <c r="D119" t="str">
        <f>IF(数据录入!$B119="","",SUM(数据录入!$D119:$AG119))</f>
        <v/>
      </c>
      <c r="E119" t="str">
        <f>IF(OR(数据录入!$B119="",数据录入!$B119=0),"",ROUND(D119/(数据录入!$B119*100)*100,1))</f>
        <v/>
      </c>
      <c r="F119" t="str">
        <f>IF(数据录入!$B119="","",IF(ROW()=2,0,N(G118)))</f>
        <v/>
      </c>
      <c r="G119" t="str">
        <f>IF(数据录入!$B119="","",F119+数据录入!$B119)</f>
        <v/>
      </c>
      <c r="H119" t="str">
        <f>IF(数据录入!$B119="","",C119+IF(数据录入!$C119="",0,数据录入!$C119))</f>
        <v/>
      </c>
      <c r="I119" t="str">
        <f>IF(数据录入!$B119="","",H119-1)</f>
        <v/>
      </c>
      <c r="J119" t="str">
        <f>IF(OR(数据录入!$B119="",H119=0),"",ROUND(数据录入!$B119*100/H119,1))</f>
        <v/>
      </c>
    </row>
    <row r="120" ht="18.00" customHeight="true">
      <c r="A120" t="str">
        <f>IF(数据录入!$B120="","",IF(数据录入!$A120=""," ",数据录入!$A120))</f>
        <v/>
      </c>
      <c r="B120" t="str">
        <f>IF(数据录入!$B120="","",数据录入!$B120)</f>
        <v/>
      </c>
      <c r="C120" t="str">
        <f>IF(数据录入!$B120="","",COUNT(数据录入!$D120:$AG120))</f>
        <v/>
      </c>
      <c r="D120" t="str">
        <f>IF(数据录入!$B120="","",SUM(数据录入!$D120:$AG120))</f>
        <v/>
      </c>
      <c r="E120" t="str">
        <f>IF(OR(数据录入!$B120="",数据录入!$B120=0),"",ROUND(D120/(数据录入!$B120*100)*100,1))</f>
        <v/>
      </c>
      <c r="F120" t="str">
        <f>IF(数据录入!$B120="","",IF(ROW()=2,0,N(G119)))</f>
        <v/>
      </c>
      <c r="G120" t="str">
        <f>IF(数据录入!$B120="","",F120+数据录入!$B120)</f>
        <v/>
      </c>
      <c r="H120" t="str">
        <f>IF(数据录入!$B120="","",C120+IF(数据录入!$C120="",0,数据录入!$C120))</f>
        <v/>
      </c>
      <c r="I120" t="str">
        <f>IF(数据录入!$B120="","",H120-1)</f>
        <v/>
      </c>
      <c r="J120" t="str">
        <f>IF(OR(数据录入!$B120="",H120=0),"",ROUND(数据录入!$B120*100/H120,1))</f>
        <v/>
      </c>
    </row>
    <row r="121" ht="18.00" customHeight="true">
      <c r="A121" t="str">
        <f>IF(数据录入!$B121="","",IF(数据录入!$A121=""," ",数据录入!$A121))</f>
        <v/>
      </c>
      <c r="B121" t="str">
        <f>IF(数据录入!$B121="","",数据录入!$B121)</f>
        <v/>
      </c>
      <c r="C121" t="str">
        <f>IF(数据录入!$B121="","",COUNT(数据录入!$D121:$AG121))</f>
        <v/>
      </c>
      <c r="D121" t="str">
        <f>IF(数据录入!$B121="","",SUM(数据录入!$D121:$AG121))</f>
        <v/>
      </c>
      <c r="E121" t="str">
        <f>IF(OR(数据录入!$B121="",数据录入!$B121=0),"",ROUND(D121/(数据录入!$B121*100)*100,1))</f>
        <v/>
      </c>
      <c r="F121" t="str">
        <f>IF(数据录入!$B121="","",IF(ROW()=2,0,N(G120)))</f>
        <v/>
      </c>
      <c r="G121" t="str">
        <f>IF(数据录入!$B121="","",F121+数据录入!$B121)</f>
        <v/>
      </c>
      <c r="H121" t="str">
        <f>IF(数据录入!$B121="","",C121+IF(数据录入!$C121="",0,数据录入!$C121))</f>
        <v/>
      </c>
      <c r="I121" t="str">
        <f>IF(数据录入!$B121="","",H121-1)</f>
        <v/>
      </c>
      <c r="J121" t="str">
        <f>IF(OR(数据录入!$B121="",H121=0),"",ROUND(数据录入!$B121*100/H121,1))</f>
        <v/>
      </c>
    </row>
    <row r="122" ht="18.00" customHeight="true">
      <c r="A122" t="str">
        <f>IF(数据录入!$B122="","",IF(数据录入!$A122=""," ",数据录入!$A122))</f>
        <v/>
      </c>
      <c r="B122" t="str">
        <f>IF(数据录入!$B122="","",数据录入!$B122)</f>
        <v/>
      </c>
      <c r="C122" t="str">
        <f>IF(数据录入!$B122="","",COUNT(数据录入!$D122:$AG122))</f>
        <v/>
      </c>
      <c r="D122" t="str">
        <f>IF(数据录入!$B122="","",SUM(数据录入!$D122:$AG122))</f>
        <v/>
      </c>
      <c r="E122" t="str">
        <f>IF(OR(数据录入!$B122="",数据录入!$B122=0),"",ROUND(D122/(数据录入!$B122*100)*100,1))</f>
        <v/>
      </c>
      <c r="F122" t="str">
        <f>IF(数据录入!$B122="","",IF(ROW()=2,0,N(G121)))</f>
        <v/>
      </c>
      <c r="G122" t="str">
        <f>IF(数据录入!$B122="","",F122+数据录入!$B122)</f>
        <v/>
      </c>
      <c r="H122" t="str">
        <f>IF(数据录入!$B122="","",C122+IF(数据录入!$C122="",0,数据录入!$C122))</f>
        <v/>
      </c>
      <c r="I122" t="str">
        <f>IF(数据录入!$B122="","",H122-1)</f>
        <v/>
      </c>
      <c r="J122" t="str">
        <f>IF(OR(数据录入!$B122="",H122=0),"",ROUND(数据录入!$B122*100/H122,1))</f>
        <v/>
      </c>
    </row>
    <row r="123" ht="18.00" customHeight="true">
      <c r="A123" t="str">
        <f>IF(数据录入!$B123="","",IF(数据录入!$A123=""," ",数据录入!$A123))</f>
        <v/>
      </c>
      <c r="B123" t="str">
        <f>IF(数据录入!$B123="","",数据录入!$B123)</f>
        <v/>
      </c>
      <c r="C123" t="str">
        <f>IF(数据录入!$B123="","",COUNT(数据录入!$D123:$AG123))</f>
        <v/>
      </c>
      <c r="D123" t="str">
        <f>IF(数据录入!$B123="","",SUM(数据录入!$D123:$AG123))</f>
        <v/>
      </c>
      <c r="E123" t="str">
        <f>IF(OR(数据录入!$B123="",数据录入!$B123=0),"",ROUND(D123/(数据录入!$B123*100)*100,1))</f>
        <v/>
      </c>
      <c r="F123" t="str">
        <f>IF(数据录入!$B123="","",IF(ROW()=2,0,N(G122)))</f>
        <v/>
      </c>
      <c r="G123" t="str">
        <f>IF(数据录入!$B123="","",F123+数据录入!$B123)</f>
        <v/>
      </c>
      <c r="H123" t="str">
        <f>IF(数据录入!$B123="","",C123+IF(数据录入!$C123="",0,数据录入!$C123))</f>
        <v/>
      </c>
      <c r="I123" t="str">
        <f>IF(数据录入!$B123="","",H123-1)</f>
        <v/>
      </c>
      <c r="J123" t="str">
        <f>IF(OR(数据录入!$B123="",H123=0),"",ROUND(数据录入!$B123*100/H123,1))</f>
        <v/>
      </c>
    </row>
    <row r="124" ht="18.00" customHeight="true">
      <c r="A124" t="str">
        <f>IF(数据录入!$B124="","",IF(数据录入!$A124=""," ",数据录入!$A124))</f>
        <v/>
      </c>
      <c r="B124" t="str">
        <f>IF(数据录入!$B124="","",数据录入!$B124)</f>
        <v/>
      </c>
      <c r="C124" t="str">
        <f>IF(数据录入!$B124="","",COUNT(数据录入!$D124:$AG124))</f>
        <v/>
      </c>
      <c r="D124" t="str">
        <f>IF(数据录入!$B124="","",SUM(数据录入!$D124:$AG124))</f>
        <v/>
      </c>
      <c r="E124" t="str">
        <f>IF(OR(数据录入!$B124="",数据录入!$B124=0),"",ROUND(D124/(数据录入!$B124*100)*100,1))</f>
        <v/>
      </c>
      <c r="F124" t="str">
        <f>IF(数据录入!$B124="","",IF(ROW()=2,0,N(G123)))</f>
        <v/>
      </c>
      <c r="G124" t="str">
        <f>IF(数据录入!$B124="","",F124+数据录入!$B124)</f>
        <v/>
      </c>
      <c r="H124" t="str">
        <f>IF(数据录入!$B124="","",C124+IF(数据录入!$C124="",0,数据录入!$C124))</f>
        <v/>
      </c>
      <c r="I124" t="str">
        <f>IF(数据录入!$B124="","",H124-1)</f>
        <v/>
      </c>
      <c r="J124" t="str">
        <f>IF(OR(数据录入!$B124="",H124=0),"",ROUND(数据录入!$B124*100/H124,1))</f>
        <v/>
      </c>
    </row>
    <row r="125" ht="18.00" customHeight="true">
      <c r="A125" t="str">
        <f>IF(数据录入!$B125="","",IF(数据录入!$A125=""," ",数据录入!$A125))</f>
        <v/>
      </c>
      <c r="B125" t="str">
        <f>IF(数据录入!$B125="","",数据录入!$B125)</f>
        <v/>
      </c>
      <c r="C125" t="str">
        <f>IF(数据录入!$B125="","",COUNT(数据录入!$D125:$AG125))</f>
        <v/>
      </c>
      <c r="D125" t="str">
        <f>IF(数据录入!$B125="","",SUM(数据录入!$D125:$AG125))</f>
        <v/>
      </c>
      <c r="E125" t="str">
        <f>IF(OR(数据录入!$B125="",数据录入!$B125=0),"",ROUND(D125/(数据录入!$B125*100)*100,1))</f>
        <v/>
      </c>
      <c r="F125" t="str">
        <f>IF(数据录入!$B125="","",IF(ROW()=2,0,N(G124)))</f>
        <v/>
      </c>
      <c r="G125" t="str">
        <f>IF(数据录入!$B125="","",F125+数据录入!$B125)</f>
        <v/>
      </c>
      <c r="H125" t="str">
        <f>IF(数据录入!$B125="","",C125+IF(数据录入!$C125="",0,数据录入!$C125))</f>
        <v/>
      </c>
      <c r="I125" t="str">
        <f>IF(数据录入!$B125="","",H125-1)</f>
        <v/>
      </c>
      <c r="J125" t="str">
        <f>IF(OR(数据录入!$B125="",H125=0),"",ROUND(数据录入!$B125*100/H125,1))</f>
        <v/>
      </c>
    </row>
    <row r="126" ht="18.00" customHeight="true">
      <c r="A126" t="str">
        <f>IF(数据录入!$B126="","",IF(数据录入!$A126=""," ",数据录入!$A126))</f>
        <v/>
      </c>
      <c r="B126" t="str">
        <f>IF(数据录入!$B126="","",数据录入!$B126)</f>
        <v/>
      </c>
      <c r="C126" t="str">
        <f>IF(数据录入!$B126="","",COUNT(数据录入!$D126:$AG126))</f>
        <v/>
      </c>
      <c r="D126" t="str">
        <f>IF(数据录入!$B126="","",SUM(数据录入!$D126:$AG126))</f>
        <v/>
      </c>
      <c r="E126" t="str">
        <f>IF(OR(数据录入!$B126="",数据录入!$B126=0),"",ROUND(D126/(数据录入!$B126*100)*100,1))</f>
        <v/>
      </c>
      <c r="F126" t="str">
        <f>IF(数据录入!$B126="","",IF(ROW()=2,0,N(G125)))</f>
        <v/>
      </c>
      <c r="G126" t="str">
        <f>IF(数据录入!$B126="","",F126+数据录入!$B126)</f>
        <v/>
      </c>
      <c r="H126" t="str">
        <f>IF(数据录入!$B126="","",C126+IF(数据录入!$C126="",0,数据录入!$C126))</f>
        <v/>
      </c>
      <c r="I126" t="str">
        <f>IF(数据录入!$B126="","",H126-1)</f>
        <v/>
      </c>
      <c r="J126" t="str">
        <f>IF(OR(数据录入!$B126="",H126=0),"",ROUND(数据录入!$B126*100/H126,1))</f>
        <v/>
      </c>
    </row>
    <row r="127" ht="18.00" customHeight="true">
      <c r="A127" t="str">
        <f>IF(数据录入!$B127="","",IF(数据录入!$A127=""," ",数据录入!$A127))</f>
        <v/>
      </c>
      <c r="B127" t="str">
        <f>IF(数据录入!$B127="","",数据录入!$B127)</f>
        <v/>
      </c>
      <c r="C127" t="str">
        <f>IF(数据录入!$B127="","",COUNT(数据录入!$D127:$AG127))</f>
        <v/>
      </c>
      <c r="D127" t="str">
        <f>IF(数据录入!$B127="","",SUM(数据录入!$D127:$AG127))</f>
        <v/>
      </c>
      <c r="E127" t="str">
        <f>IF(OR(数据录入!$B127="",数据录入!$B127=0),"",ROUND(D127/(数据录入!$B127*100)*100,1))</f>
        <v/>
      </c>
      <c r="F127" t="str">
        <f>IF(数据录入!$B127="","",IF(ROW()=2,0,N(G126)))</f>
        <v/>
      </c>
      <c r="G127" t="str">
        <f>IF(数据录入!$B127="","",F127+数据录入!$B127)</f>
        <v/>
      </c>
      <c r="H127" t="str">
        <f>IF(数据录入!$B127="","",C127+IF(数据录入!$C127="",0,数据录入!$C127))</f>
        <v/>
      </c>
      <c r="I127" t="str">
        <f>IF(数据录入!$B127="","",H127-1)</f>
        <v/>
      </c>
      <c r="J127" t="str">
        <f>IF(OR(数据录入!$B127="",H127=0),"",ROUND(数据录入!$B127*100/H127,1))</f>
        <v/>
      </c>
    </row>
    <row r="128" ht="18.00" customHeight="true">
      <c r="A128" t="str">
        <f>IF(数据录入!$B128="","",IF(数据录入!$A128=""," ",数据录入!$A128))</f>
        <v/>
      </c>
      <c r="B128" t="str">
        <f>IF(数据录入!$B128="","",数据录入!$B128)</f>
        <v/>
      </c>
      <c r="C128" t="str">
        <f>IF(数据录入!$B128="","",COUNT(数据录入!$D128:$AG128))</f>
        <v/>
      </c>
      <c r="D128" t="str">
        <f>IF(数据录入!$B128="","",SUM(数据录入!$D128:$AG128))</f>
        <v/>
      </c>
      <c r="E128" t="str">
        <f>IF(OR(数据录入!$B128="",数据录入!$B128=0),"",ROUND(D128/(数据录入!$B128*100)*100,1))</f>
        <v/>
      </c>
      <c r="F128" t="str">
        <f>IF(数据录入!$B128="","",IF(ROW()=2,0,N(G127)))</f>
        <v/>
      </c>
      <c r="G128" t="str">
        <f>IF(数据录入!$B128="","",F128+数据录入!$B128)</f>
        <v/>
      </c>
      <c r="H128" t="str">
        <f>IF(数据录入!$B128="","",C128+IF(数据录入!$C128="",0,数据录入!$C128))</f>
        <v/>
      </c>
      <c r="I128" t="str">
        <f>IF(数据录入!$B128="","",H128-1)</f>
        <v/>
      </c>
      <c r="J128" t="str">
        <f>IF(OR(数据录入!$B128="",H128=0),"",ROUND(数据录入!$B128*100/H128,1))</f>
        <v/>
      </c>
    </row>
    <row r="129" ht="18.00" customHeight="true">
      <c r="A129" t="str">
        <f>IF(数据录入!$B129="","",IF(数据录入!$A129=""," ",数据录入!$A129))</f>
        <v/>
      </c>
      <c r="B129" t="str">
        <f>IF(数据录入!$B129="","",数据录入!$B129)</f>
        <v/>
      </c>
      <c r="C129" t="str">
        <f>IF(数据录入!$B129="","",COUNT(数据录入!$D129:$AG129))</f>
        <v/>
      </c>
      <c r="D129" t="str">
        <f>IF(数据录入!$B129="","",SUM(数据录入!$D129:$AG129))</f>
        <v/>
      </c>
      <c r="E129" t="str">
        <f>IF(OR(数据录入!$B129="",数据录入!$B129=0),"",ROUND(D129/(数据录入!$B129*100)*100,1))</f>
        <v/>
      </c>
      <c r="F129" t="str">
        <f>IF(数据录入!$B129="","",IF(ROW()=2,0,N(G128)))</f>
        <v/>
      </c>
      <c r="G129" t="str">
        <f>IF(数据录入!$B129="","",F129+数据录入!$B129)</f>
        <v/>
      </c>
      <c r="H129" t="str">
        <f>IF(数据录入!$B129="","",C129+IF(数据录入!$C129="",0,数据录入!$C129))</f>
        <v/>
      </c>
      <c r="I129" t="str">
        <f>IF(数据录入!$B129="","",H129-1)</f>
        <v/>
      </c>
      <c r="J129" t="str">
        <f>IF(OR(数据录入!$B129="",H129=0),"",ROUND(数据录入!$B129*100/H129,1))</f>
        <v/>
      </c>
    </row>
    <row r="130" ht="18.00" customHeight="true">
      <c r="A130" t="str">
        <f>IF(数据录入!$B130="","",IF(数据录入!$A130=""," ",数据录入!$A130))</f>
        <v/>
      </c>
      <c r="B130" t="str">
        <f>IF(数据录入!$B130="","",数据录入!$B130)</f>
        <v/>
      </c>
      <c r="C130" t="str">
        <f>IF(数据录入!$B130="","",COUNT(数据录入!$D130:$AG130))</f>
        <v/>
      </c>
      <c r="D130" t="str">
        <f>IF(数据录入!$B130="","",SUM(数据录入!$D130:$AG130))</f>
        <v/>
      </c>
      <c r="E130" t="str">
        <f>IF(OR(数据录入!$B130="",数据录入!$B130=0),"",ROUND(D130/(数据录入!$B130*100)*100,1))</f>
        <v/>
      </c>
      <c r="F130" t="str">
        <f>IF(数据录入!$B130="","",IF(ROW()=2,0,N(G129)))</f>
        <v/>
      </c>
      <c r="G130" t="str">
        <f>IF(数据录入!$B130="","",F130+数据录入!$B130)</f>
        <v/>
      </c>
      <c r="H130" t="str">
        <f>IF(数据录入!$B130="","",C130+IF(数据录入!$C130="",0,数据录入!$C130))</f>
        <v/>
      </c>
      <c r="I130" t="str">
        <f>IF(数据录入!$B130="","",H130-1)</f>
        <v/>
      </c>
      <c r="J130" t="str">
        <f>IF(OR(数据录入!$B130="",H130=0),"",ROUND(数据录入!$B130*100/H130,1))</f>
        <v/>
      </c>
    </row>
    <row r="131" ht="18.00" customHeight="true">
      <c r="A131" t="str">
        <f>IF(数据录入!$B131="","",IF(数据录入!$A131=""," ",数据录入!$A131))</f>
        <v/>
      </c>
      <c r="B131" t="str">
        <f>IF(数据录入!$B131="","",数据录入!$B131)</f>
        <v/>
      </c>
      <c r="C131" t="str">
        <f>IF(数据录入!$B131="","",COUNT(数据录入!$D131:$AG131))</f>
        <v/>
      </c>
      <c r="D131" t="str">
        <f>IF(数据录入!$B131="","",SUM(数据录入!$D131:$AG131))</f>
        <v/>
      </c>
      <c r="E131" t="str">
        <f>IF(OR(数据录入!$B131="",数据录入!$B131=0),"",ROUND(D131/(数据录入!$B131*100)*100,1))</f>
        <v/>
      </c>
      <c r="F131" t="str">
        <f>IF(数据录入!$B131="","",IF(ROW()=2,0,N(G130)))</f>
        <v/>
      </c>
      <c r="G131" t="str">
        <f>IF(数据录入!$B131="","",F131+数据录入!$B131)</f>
        <v/>
      </c>
      <c r="H131" t="str">
        <f>IF(数据录入!$B131="","",C131+IF(数据录入!$C131="",0,数据录入!$C131))</f>
        <v/>
      </c>
      <c r="I131" t="str">
        <f>IF(数据录入!$B131="","",H131-1)</f>
        <v/>
      </c>
      <c r="J131" t="str">
        <f>IF(OR(数据录入!$B131="",H131=0),"",ROUND(数据录入!$B131*100/H131,1))</f>
        <v/>
      </c>
    </row>
    <row r="132" ht="18.00" customHeight="true">
      <c r="A132" t="str">
        <f>IF(数据录入!$B132="","",IF(数据录入!$A132=""," ",数据录入!$A132))</f>
        <v/>
      </c>
      <c r="B132" t="str">
        <f>IF(数据录入!$B132="","",数据录入!$B132)</f>
        <v/>
      </c>
      <c r="C132" t="str">
        <f>IF(数据录入!$B132="","",COUNT(数据录入!$D132:$AG132))</f>
        <v/>
      </c>
      <c r="D132" t="str">
        <f>IF(数据录入!$B132="","",SUM(数据录入!$D132:$AG132))</f>
        <v/>
      </c>
      <c r="E132" t="str">
        <f>IF(OR(数据录入!$B132="",数据录入!$B132=0),"",ROUND(D132/(数据录入!$B132*100)*100,1))</f>
        <v/>
      </c>
      <c r="F132" t="str">
        <f>IF(数据录入!$B132="","",IF(ROW()=2,0,N(G131)))</f>
        <v/>
      </c>
      <c r="G132" t="str">
        <f>IF(数据录入!$B132="","",F132+数据录入!$B132)</f>
        <v/>
      </c>
      <c r="H132" t="str">
        <f>IF(数据录入!$B132="","",C132+IF(数据录入!$C132="",0,数据录入!$C132))</f>
        <v/>
      </c>
      <c r="I132" t="str">
        <f>IF(数据录入!$B132="","",H132-1)</f>
        <v/>
      </c>
      <c r="J132" t="str">
        <f>IF(OR(数据录入!$B132="",H132=0),"",ROUND(数据录入!$B132*100/H132,1))</f>
        <v/>
      </c>
    </row>
    <row r="133" ht="18.00" customHeight="true">
      <c r="A133" t="str">
        <f>IF(数据录入!$B133="","",IF(数据录入!$A133=""," ",数据录入!$A133))</f>
        <v/>
      </c>
      <c r="B133" t="str">
        <f>IF(数据录入!$B133="","",数据录入!$B133)</f>
        <v/>
      </c>
      <c r="C133" t="str">
        <f>IF(数据录入!$B133="","",COUNT(数据录入!$D133:$AG133))</f>
        <v/>
      </c>
      <c r="D133" t="str">
        <f>IF(数据录入!$B133="","",SUM(数据录入!$D133:$AG133))</f>
        <v/>
      </c>
      <c r="E133" t="str">
        <f>IF(OR(数据录入!$B133="",数据录入!$B133=0),"",ROUND(D133/(数据录入!$B133*100)*100,1))</f>
        <v/>
      </c>
      <c r="F133" t="str">
        <f>IF(数据录入!$B133="","",IF(ROW()=2,0,N(G132)))</f>
        <v/>
      </c>
      <c r="G133" t="str">
        <f>IF(数据录入!$B133="","",F133+数据录入!$B133)</f>
        <v/>
      </c>
      <c r="H133" t="str">
        <f>IF(数据录入!$B133="","",C133+IF(数据录入!$C133="",0,数据录入!$C133))</f>
        <v/>
      </c>
      <c r="I133" t="str">
        <f>IF(数据录入!$B133="","",H133-1)</f>
        <v/>
      </c>
      <c r="J133" t="str">
        <f>IF(OR(数据录入!$B133="",H133=0),"",ROUND(数据录入!$B133*100/H133,1))</f>
        <v/>
      </c>
    </row>
    <row r="134" ht="18.00" customHeight="true">
      <c r="A134" t="str">
        <f>IF(数据录入!$B134="","",IF(数据录入!$A134=""," ",数据录入!$A134))</f>
        <v/>
      </c>
      <c r="B134" t="str">
        <f>IF(数据录入!$B134="","",数据录入!$B134)</f>
        <v/>
      </c>
      <c r="C134" t="str">
        <f>IF(数据录入!$B134="","",COUNT(数据录入!$D134:$AG134))</f>
        <v/>
      </c>
      <c r="D134" t="str">
        <f>IF(数据录入!$B134="","",SUM(数据录入!$D134:$AG134))</f>
        <v/>
      </c>
      <c r="E134" t="str">
        <f>IF(OR(数据录入!$B134="",数据录入!$B134=0),"",ROUND(D134/(数据录入!$B134*100)*100,1))</f>
        <v/>
      </c>
      <c r="F134" t="str">
        <f>IF(数据录入!$B134="","",IF(ROW()=2,0,N(G133)))</f>
        <v/>
      </c>
      <c r="G134" t="str">
        <f>IF(数据录入!$B134="","",F134+数据录入!$B134)</f>
        <v/>
      </c>
      <c r="H134" t="str">
        <f>IF(数据录入!$B134="","",C134+IF(数据录入!$C134="",0,数据录入!$C134))</f>
        <v/>
      </c>
      <c r="I134" t="str">
        <f>IF(数据录入!$B134="","",H134-1)</f>
        <v/>
      </c>
      <c r="J134" t="str">
        <f>IF(OR(数据录入!$B134="",H134=0),"",ROUND(数据录入!$B134*100/H134,1))</f>
        <v/>
      </c>
    </row>
    <row r="135" ht="18.00" customHeight="true">
      <c r="A135" t="str">
        <f>IF(数据录入!$B135="","",IF(数据录入!$A135=""," ",数据录入!$A135))</f>
        <v/>
      </c>
      <c r="B135" t="str">
        <f>IF(数据录入!$B135="","",数据录入!$B135)</f>
        <v/>
      </c>
      <c r="C135" t="str">
        <f>IF(数据录入!$B135="","",COUNT(数据录入!$D135:$AG135))</f>
        <v/>
      </c>
      <c r="D135" t="str">
        <f>IF(数据录入!$B135="","",SUM(数据录入!$D135:$AG135))</f>
        <v/>
      </c>
      <c r="E135" t="str">
        <f>IF(OR(数据录入!$B135="",数据录入!$B135=0),"",ROUND(D135/(数据录入!$B135*100)*100,1))</f>
        <v/>
      </c>
      <c r="F135" t="str">
        <f>IF(数据录入!$B135="","",IF(ROW()=2,0,N(G134)))</f>
        <v/>
      </c>
      <c r="G135" t="str">
        <f>IF(数据录入!$B135="","",F135+数据录入!$B135)</f>
        <v/>
      </c>
      <c r="H135" t="str">
        <f>IF(数据录入!$B135="","",C135+IF(数据录入!$C135="",0,数据录入!$C135))</f>
        <v/>
      </c>
      <c r="I135" t="str">
        <f>IF(数据录入!$B135="","",H135-1)</f>
        <v/>
      </c>
      <c r="J135" t="str">
        <f>IF(OR(数据录入!$B135="",H135=0),"",ROUND(数据录入!$B135*100/H135,1))</f>
        <v/>
      </c>
    </row>
    <row r="136" ht="18.00" customHeight="true">
      <c r="A136" t="str">
        <f>IF(数据录入!$B136="","",IF(数据录入!$A136=""," ",数据录入!$A136))</f>
        <v/>
      </c>
      <c r="B136" t="str">
        <f>IF(数据录入!$B136="","",数据录入!$B136)</f>
        <v/>
      </c>
      <c r="C136" t="str">
        <f>IF(数据录入!$B136="","",COUNT(数据录入!$D136:$AG136))</f>
        <v/>
      </c>
      <c r="D136" t="str">
        <f>IF(数据录入!$B136="","",SUM(数据录入!$D136:$AG136))</f>
        <v/>
      </c>
      <c r="E136" t="str">
        <f>IF(OR(数据录入!$B136="",数据录入!$B136=0),"",ROUND(D136/(数据录入!$B136*100)*100,1))</f>
        <v/>
      </c>
      <c r="F136" t="str">
        <f>IF(数据录入!$B136="","",IF(ROW()=2,0,N(G135)))</f>
        <v/>
      </c>
      <c r="G136" t="str">
        <f>IF(数据录入!$B136="","",F136+数据录入!$B136)</f>
        <v/>
      </c>
      <c r="H136" t="str">
        <f>IF(数据录入!$B136="","",C136+IF(数据录入!$C136="",0,数据录入!$C136))</f>
        <v/>
      </c>
      <c r="I136" t="str">
        <f>IF(数据录入!$B136="","",H136-1)</f>
        <v/>
      </c>
      <c r="J136" t="str">
        <f>IF(OR(数据录入!$B136="",H136=0),"",ROUND(数据录入!$B136*100/H136,1))</f>
        <v/>
      </c>
    </row>
    <row r="137" ht="18.00" customHeight="true">
      <c r="A137" t="str">
        <f>IF(数据录入!$B137="","",IF(数据录入!$A137=""," ",数据录入!$A137))</f>
        <v/>
      </c>
      <c r="B137" t="str">
        <f>IF(数据录入!$B137="","",数据录入!$B137)</f>
        <v/>
      </c>
      <c r="C137" t="str">
        <f>IF(数据录入!$B137="","",COUNT(数据录入!$D137:$AG137))</f>
        <v/>
      </c>
      <c r="D137" t="str">
        <f>IF(数据录入!$B137="","",SUM(数据录入!$D137:$AG137))</f>
        <v/>
      </c>
      <c r="E137" t="str">
        <f>IF(OR(数据录入!$B137="",数据录入!$B137=0),"",ROUND(D137/(数据录入!$B137*100)*100,1))</f>
        <v/>
      </c>
      <c r="F137" t="str">
        <f>IF(数据录入!$B137="","",IF(ROW()=2,0,N(G136)))</f>
        <v/>
      </c>
      <c r="G137" t="str">
        <f>IF(数据录入!$B137="","",F137+数据录入!$B137)</f>
        <v/>
      </c>
      <c r="H137" t="str">
        <f>IF(数据录入!$B137="","",C137+IF(数据录入!$C137="",0,数据录入!$C137))</f>
        <v/>
      </c>
      <c r="I137" t="str">
        <f>IF(数据录入!$B137="","",H137-1)</f>
        <v/>
      </c>
      <c r="J137" t="str">
        <f>IF(OR(数据录入!$B137="",H137=0),"",ROUND(数据录入!$B137*100/H137,1))</f>
        <v/>
      </c>
    </row>
    <row r="138" ht="18.00" customHeight="true">
      <c r="A138" t="str">
        <f>IF(数据录入!$B138="","",IF(数据录入!$A138=""," ",数据录入!$A138))</f>
        <v/>
      </c>
      <c r="B138" t="str">
        <f>IF(数据录入!$B138="","",数据录入!$B138)</f>
        <v/>
      </c>
      <c r="C138" t="str">
        <f>IF(数据录入!$B138="","",COUNT(数据录入!$D138:$AG138))</f>
        <v/>
      </c>
      <c r="D138" t="str">
        <f>IF(数据录入!$B138="","",SUM(数据录入!$D138:$AG138))</f>
        <v/>
      </c>
      <c r="E138" t="str">
        <f>IF(OR(数据录入!$B138="",数据录入!$B138=0),"",ROUND(D138/(数据录入!$B138*100)*100,1))</f>
        <v/>
      </c>
      <c r="F138" t="str">
        <f>IF(数据录入!$B138="","",IF(ROW()=2,0,N(G137)))</f>
        <v/>
      </c>
      <c r="G138" t="str">
        <f>IF(数据录入!$B138="","",F138+数据录入!$B138)</f>
        <v/>
      </c>
      <c r="H138" t="str">
        <f>IF(数据录入!$B138="","",C138+IF(数据录入!$C138="",0,数据录入!$C138))</f>
        <v/>
      </c>
      <c r="I138" t="str">
        <f>IF(数据录入!$B138="","",H138-1)</f>
        <v/>
      </c>
      <c r="J138" t="str">
        <f>IF(OR(数据录入!$B138="",H138=0),"",ROUND(数据录入!$B138*100/H138,1))</f>
        <v/>
      </c>
    </row>
    <row r="139" ht="18.00" customHeight="true">
      <c r="A139" t="str">
        <f>IF(数据录入!$B139="","",IF(数据录入!$A139=""," ",数据录入!$A139))</f>
        <v/>
      </c>
      <c r="B139" t="str">
        <f>IF(数据录入!$B139="","",数据录入!$B139)</f>
        <v/>
      </c>
      <c r="C139" t="str">
        <f>IF(数据录入!$B139="","",COUNT(数据录入!$D139:$AG139))</f>
        <v/>
      </c>
      <c r="D139" t="str">
        <f>IF(数据录入!$B139="","",SUM(数据录入!$D139:$AG139))</f>
        <v/>
      </c>
      <c r="E139" t="str">
        <f>IF(OR(数据录入!$B139="",数据录入!$B139=0),"",ROUND(D139/(数据录入!$B139*100)*100,1))</f>
        <v/>
      </c>
      <c r="F139" t="str">
        <f>IF(数据录入!$B139="","",IF(ROW()=2,0,N(G138)))</f>
        <v/>
      </c>
      <c r="G139" t="str">
        <f>IF(数据录入!$B139="","",F139+数据录入!$B139)</f>
        <v/>
      </c>
      <c r="H139" t="str">
        <f>IF(数据录入!$B139="","",C139+IF(数据录入!$C139="",0,数据录入!$C139))</f>
        <v/>
      </c>
      <c r="I139" t="str">
        <f>IF(数据录入!$B139="","",H139-1)</f>
        <v/>
      </c>
      <c r="J139" t="str">
        <f>IF(OR(数据录入!$B139="",H139=0),"",ROUND(数据录入!$B139*100/H139,1))</f>
        <v/>
      </c>
    </row>
    <row r="140" ht="18.00" customHeight="true">
      <c r="A140" t="str">
        <f>IF(数据录入!$B140="","",IF(数据录入!$A140=""," ",数据录入!$A140))</f>
        <v/>
      </c>
      <c r="B140" t="str">
        <f>IF(数据录入!$B140="","",数据录入!$B140)</f>
        <v/>
      </c>
      <c r="C140" t="str">
        <f>IF(数据录入!$B140="","",COUNT(数据录入!$D140:$AG140))</f>
        <v/>
      </c>
      <c r="D140" t="str">
        <f>IF(数据录入!$B140="","",SUM(数据录入!$D140:$AG140))</f>
        <v/>
      </c>
      <c r="E140" t="str">
        <f>IF(OR(数据录入!$B140="",数据录入!$B140=0),"",ROUND(D140/(数据录入!$B140*100)*100,1))</f>
        <v/>
      </c>
      <c r="F140" t="str">
        <f>IF(数据录入!$B140="","",IF(ROW()=2,0,N(G139)))</f>
        <v/>
      </c>
      <c r="G140" t="str">
        <f>IF(数据录入!$B140="","",F140+数据录入!$B140)</f>
        <v/>
      </c>
      <c r="H140" t="str">
        <f>IF(数据录入!$B140="","",C140+IF(数据录入!$C140="",0,数据录入!$C140))</f>
        <v/>
      </c>
      <c r="I140" t="str">
        <f>IF(数据录入!$B140="","",H140-1)</f>
        <v/>
      </c>
      <c r="J140" t="str">
        <f>IF(OR(数据录入!$B140="",H140=0),"",ROUND(数据录入!$B140*100/H140,1))</f>
        <v/>
      </c>
    </row>
    <row r="141" ht="18.00" customHeight="true">
      <c r="A141" t="str">
        <f>IF(数据录入!$B141="","",IF(数据录入!$A141=""," ",数据录入!$A141))</f>
        <v/>
      </c>
      <c r="B141" t="str">
        <f>IF(数据录入!$B141="","",数据录入!$B141)</f>
        <v/>
      </c>
      <c r="C141" t="str">
        <f>IF(数据录入!$B141="","",COUNT(数据录入!$D141:$AG141))</f>
        <v/>
      </c>
      <c r="D141" t="str">
        <f>IF(数据录入!$B141="","",SUM(数据录入!$D141:$AG141))</f>
        <v/>
      </c>
      <c r="E141" t="str">
        <f>IF(OR(数据录入!$B141="",数据录入!$B141=0),"",ROUND(D141/(数据录入!$B141*100)*100,1))</f>
        <v/>
      </c>
      <c r="F141" t="str">
        <f>IF(数据录入!$B141="","",IF(ROW()=2,0,N(G140)))</f>
        <v/>
      </c>
      <c r="G141" t="str">
        <f>IF(数据录入!$B141="","",F141+数据录入!$B141)</f>
        <v/>
      </c>
      <c r="H141" t="str">
        <f>IF(数据录入!$B141="","",C141+IF(数据录入!$C141="",0,数据录入!$C141))</f>
        <v/>
      </c>
      <c r="I141" t="str">
        <f>IF(数据录入!$B141="","",H141-1)</f>
        <v/>
      </c>
      <c r="J141" t="str">
        <f>IF(OR(数据录入!$B141="",H141=0),"",ROUND(数据录入!$B141*100/H141,1))</f>
        <v/>
      </c>
    </row>
    <row r="142" ht="18.00" customHeight="true">
      <c r="A142" t="str">
        <f>IF(数据录入!$B142="","",IF(数据录入!$A142=""," ",数据录入!$A142))</f>
        <v/>
      </c>
      <c r="B142" t="str">
        <f>IF(数据录入!$B142="","",数据录入!$B142)</f>
        <v/>
      </c>
      <c r="C142" t="str">
        <f>IF(数据录入!$B142="","",COUNT(数据录入!$D142:$AG142))</f>
        <v/>
      </c>
      <c r="D142" t="str">
        <f>IF(数据录入!$B142="","",SUM(数据录入!$D142:$AG142))</f>
        <v/>
      </c>
      <c r="E142" t="str">
        <f>IF(OR(数据录入!$B142="",数据录入!$B142=0),"",ROUND(D142/(数据录入!$B142*100)*100,1))</f>
        <v/>
      </c>
      <c r="F142" t="str">
        <f>IF(数据录入!$B142="","",IF(ROW()=2,0,N(G141)))</f>
        <v/>
      </c>
      <c r="G142" t="str">
        <f>IF(数据录入!$B142="","",F142+数据录入!$B142)</f>
        <v/>
      </c>
      <c r="H142" t="str">
        <f>IF(数据录入!$B142="","",C142+IF(数据录入!$C142="",0,数据录入!$C142))</f>
        <v/>
      </c>
      <c r="I142" t="str">
        <f>IF(数据录入!$B142="","",H142-1)</f>
        <v/>
      </c>
      <c r="J142" t="str">
        <f>IF(OR(数据录入!$B142="",H142=0),"",ROUND(数据录入!$B142*100/H142,1))</f>
        <v/>
      </c>
    </row>
    <row r="143" ht="18.00" customHeight="true">
      <c r="A143" t="str">
        <f>IF(数据录入!$B143="","",IF(数据录入!$A143=""," ",数据录入!$A143))</f>
        <v/>
      </c>
      <c r="B143" t="str">
        <f>IF(数据录入!$B143="","",数据录入!$B143)</f>
        <v/>
      </c>
      <c r="C143" t="str">
        <f>IF(数据录入!$B143="","",COUNT(数据录入!$D143:$AG143))</f>
        <v/>
      </c>
      <c r="D143" t="str">
        <f>IF(数据录入!$B143="","",SUM(数据录入!$D143:$AG143))</f>
        <v/>
      </c>
      <c r="E143" t="str">
        <f>IF(OR(数据录入!$B143="",数据录入!$B143=0),"",ROUND(D143/(数据录入!$B143*100)*100,1))</f>
        <v/>
      </c>
      <c r="F143" t="str">
        <f>IF(数据录入!$B143="","",IF(ROW()=2,0,N(G142)))</f>
        <v/>
      </c>
      <c r="G143" t="str">
        <f>IF(数据录入!$B143="","",F143+数据录入!$B143)</f>
        <v/>
      </c>
      <c r="H143" t="str">
        <f>IF(数据录入!$B143="","",C143+IF(数据录入!$C143="",0,数据录入!$C143))</f>
        <v/>
      </c>
      <c r="I143" t="str">
        <f>IF(数据录入!$B143="","",H143-1)</f>
        <v/>
      </c>
      <c r="J143" t="str">
        <f>IF(OR(数据录入!$B143="",H143=0),"",ROUND(数据录入!$B143*100/H143,1))</f>
        <v/>
      </c>
    </row>
    <row r="144" ht="18.00" customHeight="true">
      <c r="A144" t="str">
        <f>IF(数据录入!$B144="","",IF(数据录入!$A144=""," ",数据录入!$A144))</f>
        <v/>
      </c>
      <c r="B144" t="str">
        <f>IF(数据录入!$B144="","",数据录入!$B144)</f>
        <v/>
      </c>
      <c r="C144" t="str">
        <f>IF(数据录入!$B144="","",COUNT(数据录入!$D144:$AG144))</f>
        <v/>
      </c>
      <c r="D144" t="str">
        <f>IF(数据录入!$B144="","",SUM(数据录入!$D144:$AG144))</f>
        <v/>
      </c>
      <c r="E144" t="str">
        <f>IF(OR(数据录入!$B144="",数据录入!$B144=0),"",ROUND(D144/(数据录入!$B144*100)*100,1))</f>
        <v/>
      </c>
      <c r="F144" t="str">
        <f>IF(数据录入!$B144="","",IF(ROW()=2,0,N(G143)))</f>
        <v/>
      </c>
      <c r="G144" t="str">
        <f>IF(数据录入!$B144="","",F144+数据录入!$B144)</f>
        <v/>
      </c>
      <c r="H144" t="str">
        <f>IF(数据录入!$B144="","",C144+IF(数据录入!$C144="",0,数据录入!$C144))</f>
        <v/>
      </c>
      <c r="I144" t="str">
        <f>IF(数据录入!$B144="","",H144-1)</f>
        <v/>
      </c>
      <c r="J144" t="str">
        <f>IF(OR(数据录入!$B144="",H144=0),"",ROUND(数据录入!$B144*100/H144,1))</f>
        <v/>
      </c>
    </row>
    <row r="145" ht="18.00" customHeight="true">
      <c r="A145" t="str">
        <f>IF(数据录入!$B145="","",IF(数据录入!$A145=""," ",数据录入!$A145))</f>
        <v/>
      </c>
      <c r="B145" t="str">
        <f>IF(数据录入!$B145="","",数据录入!$B145)</f>
        <v/>
      </c>
      <c r="C145" t="str">
        <f>IF(数据录入!$B145="","",COUNT(数据录入!$D145:$AG145))</f>
        <v/>
      </c>
      <c r="D145" t="str">
        <f>IF(数据录入!$B145="","",SUM(数据录入!$D145:$AG145))</f>
        <v/>
      </c>
      <c r="E145" t="str">
        <f>IF(OR(数据录入!$B145="",数据录入!$B145=0),"",ROUND(D145/(数据录入!$B145*100)*100,1))</f>
        <v/>
      </c>
      <c r="F145" t="str">
        <f>IF(数据录入!$B145="","",IF(ROW()=2,0,N(G144)))</f>
        <v/>
      </c>
      <c r="G145" t="str">
        <f>IF(数据录入!$B145="","",F145+数据录入!$B145)</f>
        <v/>
      </c>
      <c r="H145" t="str">
        <f>IF(数据录入!$B145="","",C145+IF(数据录入!$C145="",0,数据录入!$C145))</f>
        <v/>
      </c>
      <c r="I145" t="str">
        <f>IF(数据录入!$B145="","",H145-1)</f>
        <v/>
      </c>
      <c r="J145" t="str">
        <f>IF(OR(数据录入!$B145="",H145=0),"",ROUND(数据录入!$B145*100/H145,1))</f>
        <v/>
      </c>
    </row>
    <row r="146" ht="18.00" customHeight="true">
      <c r="A146" t="str">
        <f>IF(数据录入!$B146="","",IF(数据录入!$A146=""," ",数据录入!$A146))</f>
        <v/>
      </c>
      <c r="B146" t="str">
        <f>IF(数据录入!$B146="","",数据录入!$B146)</f>
        <v/>
      </c>
      <c r="C146" t="str">
        <f>IF(数据录入!$B146="","",COUNT(数据录入!$D146:$AG146))</f>
        <v/>
      </c>
      <c r="D146" t="str">
        <f>IF(数据录入!$B146="","",SUM(数据录入!$D146:$AG146))</f>
        <v/>
      </c>
      <c r="E146" t="str">
        <f>IF(OR(数据录入!$B146="",数据录入!$B146=0),"",ROUND(D146/(数据录入!$B146*100)*100,1))</f>
        <v/>
      </c>
      <c r="F146" t="str">
        <f>IF(数据录入!$B146="","",IF(ROW()=2,0,N(G145)))</f>
        <v/>
      </c>
      <c r="G146" t="str">
        <f>IF(数据录入!$B146="","",F146+数据录入!$B146)</f>
        <v/>
      </c>
      <c r="H146" t="str">
        <f>IF(数据录入!$B146="","",C146+IF(数据录入!$C146="",0,数据录入!$C146))</f>
        <v/>
      </c>
      <c r="I146" t="str">
        <f>IF(数据录入!$B146="","",H146-1)</f>
        <v/>
      </c>
      <c r="J146" t="str">
        <f>IF(OR(数据录入!$B146="",H146=0),"",ROUND(数据录入!$B146*100/H146,1))</f>
        <v/>
      </c>
    </row>
    <row r="147" ht="18.00" customHeight="true">
      <c r="A147" t="str">
        <f>IF(数据录入!$B147="","",IF(数据录入!$A147=""," ",数据录入!$A147))</f>
        <v/>
      </c>
      <c r="B147" t="str">
        <f>IF(数据录入!$B147="","",数据录入!$B147)</f>
        <v/>
      </c>
      <c r="C147" t="str">
        <f>IF(数据录入!$B147="","",COUNT(数据录入!$D147:$AG147))</f>
        <v/>
      </c>
      <c r="D147" t="str">
        <f>IF(数据录入!$B147="","",SUM(数据录入!$D147:$AG147))</f>
        <v/>
      </c>
      <c r="E147" t="str">
        <f>IF(OR(数据录入!$B147="",数据录入!$B147=0),"",ROUND(D147/(数据录入!$B147*100)*100,1))</f>
        <v/>
      </c>
      <c r="F147" t="str">
        <f>IF(数据录入!$B147="","",IF(ROW()=2,0,N(G146)))</f>
        <v/>
      </c>
      <c r="G147" t="str">
        <f>IF(数据录入!$B147="","",F147+数据录入!$B147)</f>
        <v/>
      </c>
      <c r="H147" t="str">
        <f>IF(数据录入!$B147="","",C147+IF(数据录入!$C147="",0,数据录入!$C147))</f>
        <v/>
      </c>
      <c r="I147" t="str">
        <f>IF(数据录入!$B147="","",H147-1)</f>
        <v/>
      </c>
      <c r="J147" t="str">
        <f>IF(OR(数据录入!$B147="",H147=0),"",ROUND(数据录入!$B147*100/H147,1))</f>
        <v/>
      </c>
    </row>
    <row r="148" ht="18.00" customHeight="true">
      <c r="A148" t="str">
        <f>IF(数据录入!$B148="","",IF(数据录入!$A148=""," ",数据录入!$A148))</f>
        <v/>
      </c>
      <c r="B148" t="str">
        <f>IF(数据录入!$B148="","",数据录入!$B148)</f>
        <v/>
      </c>
      <c r="C148" t="str">
        <f>IF(数据录入!$B148="","",COUNT(数据录入!$D148:$AG148))</f>
        <v/>
      </c>
      <c r="D148" t="str">
        <f>IF(数据录入!$B148="","",SUM(数据录入!$D148:$AG148))</f>
        <v/>
      </c>
      <c r="E148" t="str">
        <f>IF(OR(数据录入!$B148="",数据录入!$B148=0),"",ROUND(D148/(数据录入!$B148*100)*100,1))</f>
        <v/>
      </c>
      <c r="F148" t="str">
        <f>IF(数据录入!$B148="","",IF(ROW()=2,0,N(G147)))</f>
        <v/>
      </c>
      <c r="G148" t="str">
        <f>IF(数据录入!$B148="","",F148+数据录入!$B148)</f>
        <v/>
      </c>
      <c r="H148" t="str">
        <f>IF(数据录入!$B148="","",C148+IF(数据录入!$C148="",0,数据录入!$C148))</f>
        <v/>
      </c>
      <c r="I148" t="str">
        <f>IF(数据录入!$B148="","",H148-1)</f>
        <v/>
      </c>
      <c r="J148" t="str">
        <f>IF(OR(数据录入!$B148="",H148=0),"",ROUND(数据录入!$B148*100/H148,1))</f>
        <v/>
      </c>
    </row>
    <row r="149" ht="18.00" customHeight="true">
      <c r="A149" t="str">
        <f>IF(数据录入!$B149="","",IF(数据录入!$A149=""," ",数据录入!$A149))</f>
        <v/>
      </c>
      <c r="B149" t="str">
        <f>IF(数据录入!$B149="","",数据录入!$B149)</f>
        <v/>
      </c>
      <c r="C149" t="str">
        <f>IF(数据录入!$B149="","",COUNT(数据录入!$D149:$AG149))</f>
        <v/>
      </c>
      <c r="D149" t="str">
        <f>IF(数据录入!$B149="","",SUM(数据录入!$D149:$AG149))</f>
        <v/>
      </c>
      <c r="E149" t="str">
        <f>IF(OR(数据录入!$B149="",数据录入!$B149=0),"",ROUND(D149/(数据录入!$B149*100)*100,1))</f>
        <v/>
      </c>
      <c r="F149" t="str">
        <f>IF(数据录入!$B149="","",IF(ROW()=2,0,N(G148)))</f>
        <v/>
      </c>
      <c r="G149" t="str">
        <f>IF(数据录入!$B149="","",F149+数据录入!$B149)</f>
        <v/>
      </c>
      <c r="H149" t="str">
        <f>IF(数据录入!$B149="","",C149+IF(数据录入!$C149="",0,数据录入!$C149))</f>
        <v/>
      </c>
      <c r="I149" t="str">
        <f>IF(数据录入!$B149="","",H149-1)</f>
        <v/>
      </c>
      <c r="J149" t="str">
        <f>IF(OR(数据录入!$B149="",H149=0),"",ROUND(数据录入!$B149*100/H149,1))</f>
        <v/>
      </c>
    </row>
    <row r="150" ht="18.00" customHeight="true">
      <c r="A150" t="str">
        <f>IF(数据录入!$B150="","",IF(数据录入!$A150=""," ",数据录入!$A150))</f>
        <v/>
      </c>
      <c r="B150" t="str">
        <f>IF(数据录入!$B150="","",数据录入!$B150)</f>
        <v/>
      </c>
      <c r="C150" t="str">
        <f>IF(数据录入!$B150="","",COUNT(数据录入!$D150:$AG150))</f>
        <v/>
      </c>
      <c r="D150" t="str">
        <f>IF(数据录入!$B150="","",SUM(数据录入!$D150:$AG150))</f>
        <v/>
      </c>
      <c r="E150" t="str">
        <f>IF(OR(数据录入!$B150="",数据录入!$B150=0),"",ROUND(D150/(数据录入!$B150*100)*100,1))</f>
        <v/>
      </c>
      <c r="F150" t="str">
        <f>IF(数据录入!$B150="","",IF(ROW()=2,0,N(G149)))</f>
        <v/>
      </c>
      <c r="G150" t="str">
        <f>IF(数据录入!$B150="","",F150+数据录入!$B150)</f>
        <v/>
      </c>
      <c r="H150" t="str">
        <f>IF(数据录入!$B150="","",C150+IF(数据录入!$C150="",0,数据录入!$C150))</f>
        <v/>
      </c>
      <c r="I150" t="str">
        <f>IF(数据录入!$B150="","",H150-1)</f>
        <v/>
      </c>
      <c r="J150" t="str">
        <f>IF(OR(数据录入!$B150="",H150=0),"",ROUND(数据录入!$B150*100/H150,1))</f>
        <v/>
      </c>
    </row>
    <row r="151" ht="18.00" customHeight="true">
      <c r="A151" t="str">
        <f>IF(数据录入!$B151="","",IF(数据录入!$A151=""," ",数据录入!$A151))</f>
        <v/>
      </c>
      <c r="B151" t="str">
        <f>IF(数据录入!$B151="","",数据录入!$B151)</f>
        <v/>
      </c>
      <c r="C151" t="str">
        <f>IF(数据录入!$B151="","",COUNT(数据录入!$D151:$AG151))</f>
        <v/>
      </c>
      <c r="D151" t="str">
        <f>IF(数据录入!$B151="","",SUM(数据录入!$D151:$AG151))</f>
        <v/>
      </c>
      <c r="E151" t="str">
        <f>IF(OR(数据录入!$B151="",数据录入!$B151=0),"",ROUND(D151/(数据录入!$B151*100)*100,1))</f>
        <v/>
      </c>
      <c r="F151" t="str">
        <f>IF(数据录入!$B151="","",IF(ROW()=2,0,N(G150)))</f>
        <v/>
      </c>
      <c r="G151" t="str">
        <f>IF(数据录入!$B151="","",F151+数据录入!$B151)</f>
        <v/>
      </c>
      <c r="H151" t="str">
        <f>IF(数据录入!$B151="","",C151+IF(数据录入!$C151="",0,数据录入!$C151))</f>
        <v/>
      </c>
      <c r="I151" t="str">
        <f>IF(数据录入!$B151="","",H151-1)</f>
        <v/>
      </c>
      <c r="J151" t="str">
        <f>IF(OR(数据录入!$B151="",H151=0),"",ROUND(数据录入!$B151*100/H151,1))</f>
        <v/>
      </c>
    </row>
    <row r="152" ht="18.00" customHeight="true">
      <c r="A152" t="str">
        <f>IF(数据录入!$B152="","",IF(数据录入!$A152=""," ",数据录入!$A152))</f>
        <v/>
      </c>
      <c r="B152" t="str">
        <f>IF(数据录入!$B152="","",数据录入!$B152)</f>
        <v/>
      </c>
      <c r="C152" t="str">
        <f>IF(数据录入!$B152="","",COUNT(数据录入!$D152:$AG152))</f>
        <v/>
      </c>
      <c r="D152" t="str">
        <f>IF(数据录入!$B152="","",SUM(数据录入!$D152:$AG152))</f>
        <v/>
      </c>
      <c r="E152" t="str">
        <f>IF(OR(数据录入!$B152="",数据录入!$B152=0),"",ROUND(D152/(数据录入!$B152*100)*100,1))</f>
        <v/>
      </c>
      <c r="F152" t="str">
        <f>IF(数据录入!$B152="","",IF(ROW()=2,0,N(G151)))</f>
        <v/>
      </c>
      <c r="G152" t="str">
        <f>IF(数据录入!$B152="","",F152+数据录入!$B152)</f>
        <v/>
      </c>
      <c r="H152" t="str">
        <f>IF(数据录入!$B152="","",C152+IF(数据录入!$C152="",0,数据录入!$C152))</f>
        <v/>
      </c>
      <c r="I152" t="str">
        <f>IF(数据录入!$B152="","",H152-1)</f>
        <v/>
      </c>
      <c r="J152" t="str">
        <f>IF(OR(数据录入!$B152="",H152=0),"",ROUND(数据录入!$B152*100/H152,1))</f>
        <v/>
      </c>
    </row>
    <row r="153" ht="18.00" customHeight="true">
      <c r="A153" t="str">
        <f>IF(数据录入!$B153="","",IF(数据录入!$A153=""," ",数据录入!$A153))</f>
        <v/>
      </c>
      <c r="B153" t="str">
        <f>IF(数据录入!$B153="","",数据录入!$B153)</f>
        <v/>
      </c>
      <c r="C153" t="str">
        <f>IF(数据录入!$B153="","",COUNT(数据录入!$D153:$AG153))</f>
        <v/>
      </c>
      <c r="D153" t="str">
        <f>IF(数据录入!$B153="","",SUM(数据录入!$D153:$AG153))</f>
        <v/>
      </c>
      <c r="E153" t="str">
        <f>IF(OR(数据录入!$B153="",数据录入!$B153=0),"",ROUND(D153/(数据录入!$B153*100)*100,1))</f>
        <v/>
      </c>
      <c r="F153" t="str">
        <f>IF(数据录入!$B153="","",IF(ROW()=2,0,N(G152)))</f>
        <v/>
      </c>
      <c r="G153" t="str">
        <f>IF(数据录入!$B153="","",F153+数据录入!$B153)</f>
        <v/>
      </c>
      <c r="H153" t="str">
        <f>IF(数据录入!$B153="","",C153+IF(数据录入!$C153="",0,数据录入!$C153))</f>
        <v/>
      </c>
      <c r="I153" t="str">
        <f>IF(数据录入!$B153="","",H153-1)</f>
        <v/>
      </c>
      <c r="J153" t="str">
        <f>IF(OR(数据录入!$B153="",H153=0),"",ROUND(数据录入!$B153*100/H153,1))</f>
        <v/>
      </c>
    </row>
    <row r="154" ht="18.00" customHeight="true">
      <c r="A154" t="str">
        <f>IF(数据录入!$B154="","",IF(数据录入!$A154=""," ",数据录入!$A154))</f>
        <v/>
      </c>
      <c r="B154" t="str">
        <f>IF(数据录入!$B154="","",数据录入!$B154)</f>
        <v/>
      </c>
      <c r="C154" t="str">
        <f>IF(数据录入!$B154="","",COUNT(数据录入!$D154:$AG154))</f>
        <v/>
      </c>
      <c r="D154" t="str">
        <f>IF(数据录入!$B154="","",SUM(数据录入!$D154:$AG154))</f>
        <v/>
      </c>
      <c r="E154" t="str">
        <f>IF(OR(数据录入!$B154="",数据录入!$B154=0),"",ROUND(D154/(数据录入!$B154*100)*100,1))</f>
        <v/>
      </c>
      <c r="F154" t="str">
        <f>IF(数据录入!$B154="","",IF(ROW()=2,0,N(G153)))</f>
        <v/>
      </c>
      <c r="G154" t="str">
        <f>IF(数据录入!$B154="","",F154+数据录入!$B154)</f>
        <v/>
      </c>
      <c r="H154" t="str">
        <f>IF(数据录入!$B154="","",C154+IF(数据录入!$C154="",0,数据录入!$C154))</f>
        <v/>
      </c>
      <c r="I154" t="str">
        <f>IF(数据录入!$B154="","",H154-1)</f>
        <v/>
      </c>
      <c r="J154" t="str">
        <f>IF(OR(数据录入!$B154="",H154=0),"",ROUND(数据录入!$B154*100/H154,1))</f>
        <v/>
      </c>
    </row>
    <row r="155" ht="18.00" customHeight="true">
      <c r="A155" t="str">
        <f>IF(数据录入!$B155="","",IF(数据录入!$A155=""," ",数据录入!$A155))</f>
        <v/>
      </c>
      <c r="B155" t="str">
        <f>IF(数据录入!$B155="","",数据录入!$B155)</f>
        <v/>
      </c>
      <c r="C155" t="str">
        <f>IF(数据录入!$B155="","",COUNT(数据录入!$D155:$AG155))</f>
        <v/>
      </c>
      <c r="D155" t="str">
        <f>IF(数据录入!$B155="","",SUM(数据录入!$D155:$AG155))</f>
        <v/>
      </c>
      <c r="E155" t="str">
        <f>IF(OR(数据录入!$B155="",数据录入!$B155=0),"",ROUND(D155/(数据录入!$B155*100)*100,1))</f>
        <v/>
      </c>
      <c r="F155" t="str">
        <f>IF(数据录入!$B155="","",IF(ROW()=2,0,N(G154)))</f>
        <v/>
      </c>
      <c r="G155" t="str">
        <f>IF(数据录入!$B155="","",F155+数据录入!$B155)</f>
        <v/>
      </c>
      <c r="H155" t="str">
        <f>IF(数据录入!$B155="","",C155+IF(数据录入!$C155="",0,数据录入!$C155))</f>
        <v/>
      </c>
      <c r="I155" t="str">
        <f>IF(数据录入!$B155="","",H155-1)</f>
        <v/>
      </c>
      <c r="J155" t="str">
        <f>IF(OR(数据录入!$B155="",H155=0),"",ROUND(数据录入!$B155*100/H155,1))</f>
        <v/>
      </c>
    </row>
    <row r="156" ht="18.00" customHeight="true">
      <c r="A156" t="str">
        <f>IF(数据录入!$B156="","",IF(数据录入!$A156=""," ",数据录入!$A156))</f>
        <v/>
      </c>
      <c r="B156" t="str">
        <f>IF(数据录入!$B156="","",数据录入!$B156)</f>
        <v/>
      </c>
      <c r="C156" t="str">
        <f>IF(数据录入!$B156="","",COUNT(数据录入!$D156:$AG156))</f>
        <v/>
      </c>
      <c r="D156" t="str">
        <f>IF(数据录入!$B156="","",SUM(数据录入!$D156:$AG156))</f>
        <v/>
      </c>
      <c r="E156" t="str">
        <f>IF(OR(数据录入!$B156="",数据录入!$B156=0),"",ROUND(D156/(数据录入!$B156*100)*100,1))</f>
        <v/>
      </c>
      <c r="F156" t="str">
        <f>IF(数据录入!$B156="","",IF(ROW()=2,0,N(G155)))</f>
        <v/>
      </c>
      <c r="G156" t="str">
        <f>IF(数据录入!$B156="","",F156+数据录入!$B156)</f>
        <v/>
      </c>
      <c r="H156" t="str">
        <f>IF(数据录入!$B156="","",C156+IF(数据录入!$C156="",0,数据录入!$C156))</f>
        <v/>
      </c>
      <c r="I156" t="str">
        <f>IF(数据录入!$B156="","",H156-1)</f>
        <v/>
      </c>
      <c r="J156" t="str">
        <f>IF(OR(数据录入!$B156="",H156=0),"",ROUND(数据录入!$B156*100/H156,1))</f>
        <v/>
      </c>
    </row>
    <row r="157" ht="18.00" customHeight="true">
      <c r="A157" t="str">
        <f>IF(数据录入!$B157="","",IF(数据录入!$A157=""," ",数据录入!$A157))</f>
        <v/>
      </c>
      <c r="B157" t="str">
        <f>IF(数据录入!$B157="","",数据录入!$B157)</f>
        <v/>
      </c>
      <c r="C157" t="str">
        <f>IF(数据录入!$B157="","",COUNT(数据录入!$D157:$AG157))</f>
        <v/>
      </c>
      <c r="D157" t="str">
        <f>IF(数据录入!$B157="","",SUM(数据录入!$D157:$AG157))</f>
        <v/>
      </c>
      <c r="E157" t="str">
        <f>IF(OR(数据录入!$B157="",数据录入!$B157=0),"",ROUND(D157/(数据录入!$B157*100)*100,1))</f>
        <v/>
      </c>
      <c r="F157" t="str">
        <f>IF(数据录入!$B157="","",IF(ROW()=2,0,N(G156)))</f>
        <v/>
      </c>
      <c r="G157" t="str">
        <f>IF(数据录入!$B157="","",F157+数据录入!$B157)</f>
        <v/>
      </c>
      <c r="H157" t="str">
        <f>IF(数据录入!$B157="","",C157+IF(数据录入!$C157="",0,数据录入!$C157))</f>
        <v/>
      </c>
      <c r="I157" t="str">
        <f>IF(数据录入!$B157="","",H157-1)</f>
        <v/>
      </c>
      <c r="J157" t="str">
        <f>IF(OR(数据录入!$B157="",H157=0),"",ROUND(数据录入!$B157*100/H157,1))</f>
        <v/>
      </c>
    </row>
    <row r="158" ht="18.00" customHeight="true">
      <c r="A158" t="str">
        <f>IF(数据录入!$B158="","",IF(数据录入!$A158=""," ",数据录入!$A158))</f>
        <v/>
      </c>
      <c r="B158" t="str">
        <f>IF(数据录入!$B158="","",数据录入!$B158)</f>
        <v/>
      </c>
      <c r="C158" t="str">
        <f>IF(数据录入!$B158="","",COUNT(数据录入!$D158:$AG158))</f>
        <v/>
      </c>
      <c r="D158" t="str">
        <f>IF(数据录入!$B158="","",SUM(数据录入!$D158:$AG158))</f>
        <v/>
      </c>
      <c r="E158" t="str">
        <f>IF(OR(数据录入!$B158="",数据录入!$B158=0),"",ROUND(D158/(数据录入!$B158*100)*100,1))</f>
        <v/>
      </c>
      <c r="F158" t="str">
        <f>IF(数据录入!$B158="","",IF(ROW()=2,0,N(G157)))</f>
        <v/>
      </c>
      <c r="G158" t="str">
        <f>IF(数据录入!$B158="","",F158+数据录入!$B158)</f>
        <v/>
      </c>
      <c r="H158" t="str">
        <f>IF(数据录入!$B158="","",C158+IF(数据录入!$C158="",0,数据录入!$C158))</f>
        <v/>
      </c>
      <c r="I158" t="str">
        <f>IF(数据录入!$B158="","",H158-1)</f>
        <v/>
      </c>
      <c r="J158" t="str">
        <f>IF(OR(数据录入!$B158="",H158=0),"",ROUND(数据录入!$B158*100/H158,1))</f>
        <v/>
      </c>
    </row>
    <row r="159" ht="18.00" customHeight="true">
      <c r="A159" t="str">
        <f>IF(数据录入!$B159="","",IF(数据录入!$A159=""," ",数据录入!$A159))</f>
        <v/>
      </c>
      <c r="B159" t="str">
        <f>IF(数据录入!$B159="","",数据录入!$B159)</f>
        <v/>
      </c>
      <c r="C159" t="str">
        <f>IF(数据录入!$B159="","",COUNT(数据录入!$D159:$AG159))</f>
        <v/>
      </c>
      <c r="D159" t="str">
        <f>IF(数据录入!$B159="","",SUM(数据录入!$D159:$AG159))</f>
        <v/>
      </c>
      <c r="E159" t="str">
        <f>IF(OR(数据录入!$B159="",数据录入!$B159=0),"",ROUND(D159/(数据录入!$B159*100)*100,1))</f>
        <v/>
      </c>
      <c r="F159" t="str">
        <f>IF(数据录入!$B159="","",IF(ROW()=2,0,N(G158)))</f>
        <v/>
      </c>
      <c r="G159" t="str">
        <f>IF(数据录入!$B159="","",F159+数据录入!$B159)</f>
        <v/>
      </c>
      <c r="H159" t="str">
        <f>IF(数据录入!$B159="","",C159+IF(数据录入!$C159="",0,数据录入!$C159))</f>
        <v/>
      </c>
      <c r="I159" t="str">
        <f>IF(数据录入!$B159="","",H159-1)</f>
        <v/>
      </c>
      <c r="J159" t="str">
        <f>IF(OR(数据录入!$B159="",H159=0),"",ROUND(数据录入!$B159*100/H159,1))</f>
        <v/>
      </c>
    </row>
    <row r="160" ht="18.00" customHeight="true">
      <c r="A160" t="str">
        <f>IF(数据录入!$B160="","",IF(数据录入!$A160=""," ",数据录入!$A160))</f>
        <v/>
      </c>
      <c r="B160" t="str">
        <f>IF(数据录入!$B160="","",数据录入!$B160)</f>
        <v/>
      </c>
      <c r="C160" t="str">
        <f>IF(数据录入!$B160="","",COUNT(数据录入!$D160:$AG160))</f>
        <v/>
      </c>
      <c r="D160" t="str">
        <f>IF(数据录入!$B160="","",SUM(数据录入!$D160:$AG160))</f>
        <v/>
      </c>
      <c r="E160" t="str">
        <f>IF(OR(数据录入!$B160="",数据录入!$B160=0),"",ROUND(D160/(数据录入!$B160*100)*100,1))</f>
        <v/>
      </c>
      <c r="F160" t="str">
        <f>IF(数据录入!$B160="","",IF(ROW()=2,0,N(G159)))</f>
        <v/>
      </c>
      <c r="G160" t="str">
        <f>IF(数据录入!$B160="","",F160+数据录入!$B160)</f>
        <v/>
      </c>
      <c r="H160" t="str">
        <f>IF(数据录入!$B160="","",C160+IF(数据录入!$C160="",0,数据录入!$C160))</f>
        <v/>
      </c>
      <c r="I160" t="str">
        <f>IF(数据录入!$B160="","",H160-1)</f>
        <v/>
      </c>
      <c r="J160" t="str">
        <f>IF(OR(数据录入!$B160="",H160=0),"",ROUND(数据录入!$B160*100/H160,1))</f>
        <v/>
      </c>
    </row>
    <row r="161" ht="18.00" customHeight="true">
      <c r="A161" t="str">
        <f>IF(数据录入!$B161="","",IF(数据录入!$A161=""," ",数据录入!$A161))</f>
        <v/>
      </c>
      <c r="B161" t="str">
        <f>IF(数据录入!$B161="","",数据录入!$B161)</f>
        <v/>
      </c>
      <c r="C161" t="str">
        <f>IF(数据录入!$B161="","",COUNT(数据录入!$D161:$AG161))</f>
        <v/>
      </c>
      <c r="D161" t="str">
        <f>IF(数据录入!$B161="","",SUM(数据录入!$D161:$AG161))</f>
        <v/>
      </c>
      <c r="E161" t="str">
        <f>IF(OR(数据录入!$B161="",数据录入!$B161=0),"",ROUND(D161/(数据录入!$B161*100)*100,1))</f>
        <v/>
      </c>
      <c r="F161" t="str">
        <f>IF(数据录入!$B161="","",IF(ROW()=2,0,N(G160)))</f>
        <v/>
      </c>
      <c r="G161" t="str">
        <f>IF(数据录入!$B161="","",F161+数据录入!$B161)</f>
        <v/>
      </c>
      <c r="H161" t="str">
        <f>IF(数据录入!$B161="","",C161+IF(数据录入!$C161="",0,数据录入!$C161))</f>
        <v/>
      </c>
      <c r="I161" t="str">
        <f>IF(数据录入!$B161="","",H161-1)</f>
        <v/>
      </c>
      <c r="J161" t="str">
        <f>IF(OR(数据录入!$B161="",H161=0),"",ROUND(数据录入!$B161*100/H161,1))</f>
        <v/>
      </c>
    </row>
    <row r="162" ht="18.00" customHeight="true">
      <c r="A162" t="str">
        <f>IF(数据录入!$B162="","",IF(数据录入!$A162=""," ",数据录入!$A162))</f>
        <v/>
      </c>
      <c r="B162" t="str">
        <f>IF(数据录入!$B162="","",数据录入!$B162)</f>
        <v/>
      </c>
      <c r="C162" t="str">
        <f>IF(数据录入!$B162="","",COUNT(数据录入!$D162:$AG162))</f>
        <v/>
      </c>
      <c r="D162" t="str">
        <f>IF(数据录入!$B162="","",SUM(数据录入!$D162:$AG162))</f>
        <v/>
      </c>
      <c r="E162" t="str">
        <f>IF(OR(数据录入!$B162="",数据录入!$B162=0),"",ROUND(D162/(数据录入!$B162*100)*100,1))</f>
        <v/>
      </c>
      <c r="F162" t="str">
        <f>IF(数据录入!$B162="","",IF(ROW()=2,0,N(G161)))</f>
        <v/>
      </c>
      <c r="G162" t="str">
        <f>IF(数据录入!$B162="","",F162+数据录入!$B162)</f>
        <v/>
      </c>
      <c r="H162" t="str">
        <f>IF(数据录入!$B162="","",C162+IF(数据录入!$C162="",0,数据录入!$C162))</f>
        <v/>
      </c>
      <c r="I162" t="str">
        <f>IF(数据录入!$B162="","",H162-1)</f>
        <v/>
      </c>
      <c r="J162" t="str">
        <f>IF(OR(数据录入!$B162="",H162=0),"",ROUND(数据录入!$B162*100/H162,1))</f>
        <v/>
      </c>
    </row>
    <row r="163" ht="18.00" customHeight="true">
      <c r="A163" t="str">
        <f>IF(数据录入!$B163="","",IF(数据录入!$A163=""," ",数据录入!$A163))</f>
        <v/>
      </c>
      <c r="B163" t="str">
        <f>IF(数据录入!$B163="","",数据录入!$B163)</f>
        <v/>
      </c>
      <c r="C163" t="str">
        <f>IF(数据录入!$B163="","",COUNT(数据录入!$D163:$AG163))</f>
        <v/>
      </c>
      <c r="D163" t="str">
        <f>IF(数据录入!$B163="","",SUM(数据录入!$D163:$AG163))</f>
        <v/>
      </c>
      <c r="E163" t="str">
        <f>IF(OR(数据录入!$B163="",数据录入!$B163=0),"",ROUND(D163/(数据录入!$B163*100)*100,1))</f>
        <v/>
      </c>
      <c r="F163" t="str">
        <f>IF(数据录入!$B163="","",IF(ROW()=2,0,N(G162)))</f>
        <v/>
      </c>
      <c r="G163" t="str">
        <f>IF(数据录入!$B163="","",F163+数据录入!$B163)</f>
        <v/>
      </c>
      <c r="H163" t="str">
        <f>IF(数据录入!$B163="","",C163+IF(数据录入!$C163="",0,数据录入!$C163))</f>
        <v/>
      </c>
      <c r="I163" t="str">
        <f>IF(数据录入!$B163="","",H163-1)</f>
        <v/>
      </c>
      <c r="J163" t="str">
        <f>IF(OR(数据录入!$B163="",H163=0),"",ROUND(数据录入!$B163*100/H163,1))</f>
        <v/>
      </c>
    </row>
    <row r="164" ht="18.00" customHeight="true">
      <c r="A164" t="str">
        <f>IF(数据录入!$B164="","",IF(数据录入!$A164=""," ",数据录入!$A164))</f>
        <v/>
      </c>
      <c r="B164" t="str">
        <f>IF(数据录入!$B164="","",数据录入!$B164)</f>
        <v/>
      </c>
      <c r="C164" t="str">
        <f>IF(数据录入!$B164="","",COUNT(数据录入!$D164:$AG164))</f>
        <v/>
      </c>
      <c r="D164" t="str">
        <f>IF(数据录入!$B164="","",SUM(数据录入!$D164:$AG164))</f>
        <v/>
      </c>
      <c r="E164" t="str">
        <f>IF(OR(数据录入!$B164="",数据录入!$B164=0),"",ROUND(D164/(数据录入!$B164*100)*100,1))</f>
        <v/>
      </c>
      <c r="F164" t="str">
        <f>IF(数据录入!$B164="","",IF(ROW()=2,0,N(G163)))</f>
        <v/>
      </c>
      <c r="G164" t="str">
        <f>IF(数据录入!$B164="","",F164+数据录入!$B164)</f>
        <v/>
      </c>
      <c r="H164" t="str">
        <f>IF(数据录入!$B164="","",C164+IF(数据录入!$C164="",0,数据录入!$C164))</f>
        <v/>
      </c>
      <c r="I164" t="str">
        <f>IF(数据录入!$B164="","",H164-1)</f>
        <v/>
      </c>
      <c r="J164" t="str">
        <f>IF(OR(数据录入!$B164="",H164=0),"",ROUND(数据录入!$B164*100/H164,1))</f>
        <v/>
      </c>
    </row>
    <row r="165" ht="18.00" customHeight="true">
      <c r="A165" t="str">
        <f>IF(数据录入!$B165="","",IF(数据录入!$A165=""," ",数据录入!$A165))</f>
        <v/>
      </c>
      <c r="B165" t="str">
        <f>IF(数据录入!$B165="","",数据录入!$B165)</f>
        <v/>
      </c>
      <c r="C165" t="str">
        <f>IF(数据录入!$B165="","",COUNT(数据录入!$D165:$AG165))</f>
        <v/>
      </c>
      <c r="D165" t="str">
        <f>IF(数据录入!$B165="","",SUM(数据录入!$D165:$AG165))</f>
        <v/>
      </c>
      <c r="E165" t="str">
        <f>IF(OR(数据录入!$B165="",数据录入!$B165=0),"",ROUND(D165/(数据录入!$B165*100)*100,1))</f>
        <v/>
      </c>
      <c r="F165" t="str">
        <f>IF(数据录入!$B165="","",IF(ROW()=2,0,N(G164)))</f>
        <v/>
      </c>
      <c r="G165" t="str">
        <f>IF(数据录入!$B165="","",F165+数据录入!$B165)</f>
        <v/>
      </c>
      <c r="H165" t="str">
        <f>IF(数据录入!$B165="","",C165+IF(数据录入!$C165="",0,数据录入!$C165))</f>
        <v/>
      </c>
      <c r="I165" t="str">
        <f>IF(数据录入!$B165="","",H165-1)</f>
        <v/>
      </c>
      <c r="J165" t="str">
        <f>IF(OR(数据录入!$B165="",H165=0),"",ROUND(数据录入!$B165*100/H165,1))</f>
        <v/>
      </c>
    </row>
    <row r="166" ht="18.00" customHeight="true">
      <c r="A166" t="str">
        <f>IF(数据录入!$B166="","",IF(数据录入!$A166=""," ",数据录入!$A166))</f>
        <v/>
      </c>
      <c r="B166" t="str">
        <f>IF(数据录入!$B166="","",数据录入!$B166)</f>
        <v/>
      </c>
      <c r="C166" t="str">
        <f>IF(数据录入!$B166="","",COUNT(数据录入!$D166:$AG166))</f>
        <v/>
      </c>
      <c r="D166" t="str">
        <f>IF(数据录入!$B166="","",SUM(数据录入!$D166:$AG166))</f>
        <v/>
      </c>
      <c r="E166" t="str">
        <f>IF(OR(数据录入!$B166="",数据录入!$B166=0),"",ROUND(D166/(数据录入!$B166*100)*100,1))</f>
        <v/>
      </c>
      <c r="F166" t="str">
        <f>IF(数据录入!$B166="","",IF(ROW()=2,0,N(G165)))</f>
        <v/>
      </c>
      <c r="G166" t="str">
        <f>IF(数据录入!$B166="","",F166+数据录入!$B166)</f>
        <v/>
      </c>
      <c r="H166" t="str">
        <f>IF(数据录入!$B166="","",C166+IF(数据录入!$C166="",0,数据录入!$C166))</f>
        <v/>
      </c>
      <c r="I166" t="str">
        <f>IF(数据录入!$B166="","",H166-1)</f>
        <v/>
      </c>
      <c r="J166" t="str">
        <f>IF(OR(数据录入!$B166="",H166=0),"",ROUND(数据录入!$B166*100/H166,1))</f>
        <v/>
      </c>
    </row>
    <row r="167" ht="18.00" customHeight="true">
      <c r="A167" t="str">
        <f>IF(数据录入!$B167="","",IF(数据录入!$A167=""," ",数据录入!$A167))</f>
        <v/>
      </c>
      <c r="B167" t="str">
        <f>IF(数据录入!$B167="","",数据录入!$B167)</f>
        <v/>
      </c>
      <c r="C167" t="str">
        <f>IF(数据录入!$B167="","",COUNT(数据录入!$D167:$AG167))</f>
        <v/>
      </c>
      <c r="D167" t="str">
        <f>IF(数据录入!$B167="","",SUM(数据录入!$D167:$AG167))</f>
        <v/>
      </c>
      <c r="E167" t="str">
        <f>IF(OR(数据录入!$B167="",数据录入!$B167=0),"",ROUND(D167/(数据录入!$B167*100)*100,1))</f>
        <v/>
      </c>
      <c r="F167" t="str">
        <f>IF(数据录入!$B167="","",IF(ROW()=2,0,N(G166)))</f>
        <v/>
      </c>
      <c r="G167" t="str">
        <f>IF(数据录入!$B167="","",F167+数据录入!$B167)</f>
        <v/>
      </c>
      <c r="H167" t="str">
        <f>IF(数据录入!$B167="","",C167+IF(数据录入!$C167="",0,数据录入!$C167))</f>
        <v/>
      </c>
      <c r="I167" t="str">
        <f>IF(数据录入!$B167="","",H167-1)</f>
        <v/>
      </c>
      <c r="J167" t="str">
        <f>IF(OR(数据录入!$B167="",H167=0),"",ROUND(数据录入!$B167*100/H167,1))</f>
        <v/>
      </c>
    </row>
    <row r="168" ht="18.00" customHeight="true">
      <c r="A168" t="str">
        <f>IF(数据录入!$B168="","",IF(数据录入!$A168=""," ",数据录入!$A168))</f>
        <v/>
      </c>
      <c r="B168" t="str">
        <f>IF(数据录入!$B168="","",数据录入!$B168)</f>
        <v/>
      </c>
      <c r="C168" t="str">
        <f>IF(数据录入!$B168="","",COUNT(数据录入!$D168:$AG168))</f>
        <v/>
      </c>
      <c r="D168" t="str">
        <f>IF(数据录入!$B168="","",SUM(数据录入!$D168:$AG168))</f>
        <v/>
      </c>
      <c r="E168" t="str">
        <f>IF(OR(数据录入!$B168="",数据录入!$B168=0),"",ROUND(D168/(数据录入!$B168*100)*100,1))</f>
        <v/>
      </c>
      <c r="F168" t="str">
        <f>IF(数据录入!$B168="","",IF(ROW()=2,0,N(G167)))</f>
        <v/>
      </c>
      <c r="G168" t="str">
        <f>IF(数据录入!$B168="","",F168+数据录入!$B168)</f>
        <v/>
      </c>
      <c r="H168" t="str">
        <f>IF(数据录入!$B168="","",C168+IF(数据录入!$C168="",0,数据录入!$C168))</f>
        <v/>
      </c>
      <c r="I168" t="str">
        <f>IF(数据录入!$B168="","",H168-1)</f>
        <v/>
      </c>
      <c r="J168" t="str">
        <f>IF(OR(数据录入!$B168="",H168=0),"",ROUND(数据录入!$B168*100/H168,1))</f>
        <v/>
      </c>
    </row>
    <row r="169" ht="18.00" customHeight="true">
      <c r="A169" t="str">
        <f>IF(数据录入!$B169="","",IF(数据录入!$A169=""," ",数据录入!$A169))</f>
        <v/>
      </c>
      <c r="B169" t="str">
        <f>IF(数据录入!$B169="","",数据录入!$B169)</f>
        <v/>
      </c>
      <c r="C169" t="str">
        <f>IF(数据录入!$B169="","",COUNT(数据录入!$D169:$AG169))</f>
        <v/>
      </c>
      <c r="D169" t="str">
        <f>IF(数据录入!$B169="","",SUM(数据录入!$D169:$AG169))</f>
        <v/>
      </c>
      <c r="E169" t="str">
        <f>IF(OR(数据录入!$B169="",数据录入!$B169=0),"",ROUND(D169/(数据录入!$B169*100)*100,1))</f>
        <v/>
      </c>
      <c r="F169" t="str">
        <f>IF(数据录入!$B169="","",IF(ROW()=2,0,N(G168)))</f>
        <v/>
      </c>
      <c r="G169" t="str">
        <f>IF(数据录入!$B169="","",F169+数据录入!$B169)</f>
        <v/>
      </c>
      <c r="H169" t="str">
        <f>IF(数据录入!$B169="","",C169+IF(数据录入!$C169="",0,数据录入!$C169))</f>
        <v/>
      </c>
      <c r="I169" t="str">
        <f>IF(数据录入!$B169="","",H169-1)</f>
        <v/>
      </c>
      <c r="J169" t="str">
        <f>IF(OR(数据录入!$B169="",H169=0),"",ROUND(数据录入!$B169*100/H169,1))</f>
        <v/>
      </c>
    </row>
    <row r="170" ht="18.00" customHeight="true">
      <c r="A170" t="str">
        <f>IF(数据录入!$B170="","",IF(数据录入!$A170=""," ",数据录入!$A170))</f>
        <v/>
      </c>
      <c r="B170" t="str">
        <f>IF(数据录入!$B170="","",数据录入!$B170)</f>
        <v/>
      </c>
      <c r="C170" t="str">
        <f>IF(数据录入!$B170="","",COUNT(数据录入!$D170:$AG170))</f>
        <v/>
      </c>
      <c r="D170" t="str">
        <f>IF(数据录入!$B170="","",SUM(数据录入!$D170:$AG170))</f>
        <v/>
      </c>
      <c r="E170" t="str">
        <f>IF(OR(数据录入!$B170="",数据录入!$B170=0),"",ROUND(D170/(数据录入!$B170*100)*100,1))</f>
        <v/>
      </c>
      <c r="F170" t="str">
        <f>IF(数据录入!$B170="","",IF(ROW()=2,0,N(G169)))</f>
        <v/>
      </c>
      <c r="G170" t="str">
        <f>IF(数据录入!$B170="","",F170+数据录入!$B170)</f>
        <v/>
      </c>
      <c r="H170" t="str">
        <f>IF(数据录入!$B170="","",C170+IF(数据录入!$C170="",0,数据录入!$C170))</f>
        <v/>
      </c>
      <c r="I170" t="str">
        <f>IF(数据录入!$B170="","",H170-1)</f>
        <v/>
      </c>
      <c r="J170" t="str">
        <f>IF(OR(数据录入!$B170="",H170=0),"",ROUND(数据录入!$B170*100/H170,1))</f>
        <v/>
      </c>
    </row>
    <row r="171" ht="18.00" customHeight="true">
      <c r="A171" t="str">
        <f>IF(数据录入!$B171="","",IF(数据录入!$A171=""," ",数据录入!$A171))</f>
        <v/>
      </c>
      <c r="B171" t="str">
        <f>IF(数据录入!$B171="","",数据录入!$B171)</f>
        <v/>
      </c>
      <c r="C171" t="str">
        <f>IF(数据录入!$B171="","",COUNT(数据录入!$D171:$AG171))</f>
        <v/>
      </c>
      <c r="D171" t="str">
        <f>IF(数据录入!$B171="","",SUM(数据录入!$D171:$AG171))</f>
        <v/>
      </c>
      <c r="E171" t="str">
        <f>IF(OR(数据录入!$B171="",数据录入!$B171=0),"",ROUND(D171/(数据录入!$B171*100)*100,1))</f>
        <v/>
      </c>
      <c r="F171" t="str">
        <f>IF(数据录入!$B171="","",IF(ROW()=2,0,N(G170)))</f>
        <v/>
      </c>
      <c r="G171" t="str">
        <f>IF(数据录入!$B171="","",F171+数据录入!$B171)</f>
        <v/>
      </c>
      <c r="H171" t="str">
        <f>IF(数据录入!$B171="","",C171+IF(数据录入!$C171="",0,数据录入!$C171))</f>
        <v/>
      </c>
      <c r="I171" t="str">
        <f>IF(数据录入!$B171="","",H171-1)</f>
        <v/>
      </c>
      <c r="J171" t="str">
        <f>IF(OR(数据录入!$B171="",H171=0),"",ROUND(数据录入!$B171*100/H171,1))</f>
        <v/>
      </c>
    </row>
    <row r="172" ht="18.00" customHeight="true">
      <c r="A172" t="str">
        <f>IF(数据录入!$B172="","",IF(数据录入!$A172=""," ",数据录入!$A172))</f>
        <v/>
      </c>
      <c r="B172" t="str">
        <f>IF(数据录入!$B172="","",数据录入!$B172)</f>
        <v/>
      </c>
      <c r="C172" t="str">
        <f>IF(数据录入!$B172="","",COUNT(数据录入!$D172:$AG172))</f>
        <v/>
      </c>
      <c r="D172" t="str">
        <f>IF(数据录入!$B172="","",SUM(数据录入!$D172:$AG172))</f>
        <v/>
      </c>
      <c r="E172" t="str">
        <f>IF(OR(数据录入!$B172="",数据录入!$B172=0),"",ROUND(D172/(数据录入!$B172*100)*100,1))</f>
        <v/>
      </c>
      <c r="F172" t="str">
        <f>IF(数据录入!$B172="","",IF(ROW()=2,0,N(G171)))</f>
        <v/>
      </c>
      <c r="G172" t="str">
        <f>IF(数据录入!$B172="","",F172+数据录入!$B172)</f>
        <v/>
      </c>
      <c r="H172" t="str">
        <f>IF(数据录入!$B172="","",C172+IF(数据录入!$C172="",0,数据录入!$C172))</f>
        <v/>
      </c>
      <c r="I172" t="str">
        <f>IF(数据录入!$B172="","",H172-1)</f>
        <v/>
      </c>
      <c r="J172" t="str">
        <f>IF(OR(数据录入!$B172="",H172=0),"",ROUND(数据录入!$B172*100/H172,1))</f>
        <v/>
      </c>
    </row>
    <row r="173" ht="18.00" customHeight="true">
      <c r="A173" t="str">
        <f>IF(数据录入!$B173="","",IF(数据录入!$A173=""," ",数据录入!$A173))</f>
        <v/>
      </c>
      <c r="B173" t="str">
        <f>IF(数据录入!$B173="","",数据录入!$B173)</f>
        <v/>
      </c>
      <c r="C173" t="str">
        <f>IF(数据录入!$B173="","",COUNT(数据录入!$D173:$AG173))</f>
        <v/>
      </c>
      <c r="D173" t="str">
        <f>IF(数据录入!$B173="","",SUM(数据录入!$D173:$AG173))</f>
        <v/>
      </c>
      <c r="E173" t="str">
        <f>IF(OR(数据录入!$B173="",数据录入!$B173=0),"",ROUND(D173/(数据录入!$B173*100)*100,1))</f>
        <v/>
      </c>
      <c r="F173" t="str">
        <f>IF(数据录入!$B173="","",IF(ROW()=2,0,N(G172)))</f>
        <v/>
      </c>
      <c r="G173" t="str">
        <f>IF(数据录入!$B173="","",F173+数据录入!$B173)</f>
        <v/>
      </c>
      <c r="H173" t="str">
        <f>IF(数据录入!$B173="","",C173+IF(数据录入!$C173="",0,数据录入!$C173))</f>
        <v/>
      </c>
      <c r="I173" t="str">
        <f>IF(数据录入!$B173="","",H173-1)</f>
        <v/>
      </c>
      <c r="J173" t="str">
        <f>IF(OR(数据录入!$B173="",H173=0),"",ROUND(数据录入!$B173*100/H173,1))</f>
        <v/>
      </c>
    </row>
    <row r="174" ht="18.00" customHeight="true">
      <c r="A174" t="str">
        <f>IF(数据录入!$B174="","",IF(数据录入!$A174=""," ",数据录入!$A174))</f>
        <v/>
      </c>
      <c r="B174" t="str">
        <f>IF(数据录入!$B174="","",数据录入!$B174)</f>
        <v/>
      </c>
      <c r="C174" t="str">
        <f>IF(数据录入!$B174="","",COUNT(数据录入!$D174:$AG174))</f>
        <v/>
      </c>
      <c r="D174" t="str">
        <f>IF(数据录入!$B174="","",SUM(数据录入!$D174:$AG174))</f>
        <v/>
      </c>
      <c r="E174" t="str">
        <f>IF(OR(数据录入!$B174="",数据录入!$B174=0),"",ROUND(D174/(数据录入!$B174*100)*100,1))</f>
        <v/>
      </c>
      <c r="F174" t="str">
        <f>IF(数据录入!$B174="","",IF(ROW()=2,0,N(G173)))</f>
        <v/>
      </c>
      <c r="G174" t="str">
        <f>IF(数据录入!$B174="","",F174+数据录入!$B174)</f>
        <v/>
      </c>
      <c r="H174" t="str">
        <f>IF(数据录入!$B174="","",C174+IF(数据录入!$C174="",0,数据录入!$C174))</f>
        <v/>
      </c>
      <c r="I174" t="str">
        <f>IF(数据录入!$B174="","",H174-1)</f>
        <v/>
      </c>
      <c r="J174" t="str">
        <f>IF(OR(数据录入!$B174="",H174=0),"",ROUND(数据录入!$B174*100/H174,1))</f>
        <v/>
      </c>
    </row>
    <row r="175" ht="18.00" customHeight="true">
      <c r="A175" t="str">
        <f>IF(数据录入!$B175="","",IF(数据录入!$A175=""," ",数据录入!$A175))</f>
        <v/>
      </c>
      <c r="B175" t="str">
        <f>IF(数据录入!$B175="","",数据录入!$B175)</f>
        <v/>
      </c>
      <c r="C175" t="str">
        <f>IF(数据录入!$B175="","",COUNT(数据录入!$D175:$AG175))</f>
        <v/>
      </c>
      <c r="D175" t="str">
        <f>IF(数据录入!$B175="","",SUM(数据录入!$D175:$AG175))</f>
        <v/>
      </c>
      <c r="E175" t="str">
        <f>IF(OR(数据录入!$B175="",数据录入!$B175=0),"",ROUND(D175/(数据录入!$B175*100)*100,1))</f>
        <v/>
      </c>
      <c r="F175" t="str">
        <f>IF(数据录入!$B175="","",IF(ROW()=2,0,N(G174)))</f>
        <v/>
      </c>
      <c r="G175" t="str">
        <f>IF(数据录入!$B175="","",F175+数据录入!$B175)</f>
        <v/>
      </c>
      <c r="H175" t="str">
        <f>IF(数据录入!$B175="","",C175+IF(数据录入!$C175="",0,数据录入!$C175))</f>
        <v/>
      </c>
      <c r="I175" t="str">
        <f>IF(数据录入!$B175="","",H175-1)</f>
        <v/>
      </c>
      <c r="J175" t="str">
        <f>IF(OR(数据录入!$B175="",H175=0),"",ROUND(数据录入!$B175*100/H175,1))</f>
        <v/>
      </c>
    </row>
    <row r="176" ht="18.00" customHeight="true">
      <c r="A176" t="str">
        <f>IF(数据录入!$B176="","",IF(数据录入!$A176=""," ",数据录入!$A176))</f>
        <v/>
      </c>
      <c r="B176" t="str">
        <f>IF(数据录入!$B176="","",数据录入!$B176)</f>
        <v/>
      </c>
      <c r="C176" t="str">
        <f>IF(数据录入!$B176="","",COUNT(数据录入!$D176:$AG176))</f>
        <v/>
      </c>
      <c r="D176" t="str">
        <f>IF(数据录入!$B176="","",SUM(数据录入!$D176:$AG176))</f>
        <v/>
      </c>
      <c r="E176" t="str">
        <f>IF(OR(数据录入!$B176="",数据录入!$B176=0),"",ROUND(D176/(数据录入!$B176*100)*100,1))</f>
        <v/>
      </c>
      <c r="F176" t="str">
        <f>IF(数据录入!$B176="","",IF(ROW()=2,0,N(G175)))</f>
        <v/>
      </c>
      <c r="G176" t="str">
        <f>IF(数据录入!$B176="","",F176+数据录入!$B176)</f>
        <v/>
      </c>
      <c r="H176" t="str">
        <f>IF(数据录入!$B176="","",C176+IF(数据录入!$C176="",0,数据录入!$C176))</f>
        <v/>
      </c>
      <c r="I176" t="str">
        <f>IF(数据录入!$B176="","",H176-1)</f>
        <v/>
      </c>
      <c r="J176" t="str">
        <f>IF(OR(数据录入!$B176="",H176=0),"",ROUND(数据录入!$B176*100/H176,1))</f>
        <v/>
      </c>
    </row>
    <row r="177" ht="18.00" customHeight="true">
      <c r="A177" t="str">
        <f>IF(数据录入!$B177="","",IF(数据录入!$A177=""," ",数据录入!$A177))</f>
        <v/>
      </c>
      <c r="B177" t="str">
        <f>IF(数据录入!$B177="","",数据录入!$B177)</f>
        <v/>
      </c>
      <c r="C177" t="str">
        <f>IF(数据录入!$B177="","",COUNT(数据录入!$D177:$AG177))</f>
        <v/>
      </c>
      <c r="D177" t="str">
        <f>IF(数据录入!$B177="","",SUM(数据录入!$D177:$AG177))</f>
        <v/>
      </c>
      <c r="E177" t="str">
        <f>IF(OR(数据录入!$B177="",数据录入!$B177=0),"",ROUND(D177/(数据录入!$B177*100)*100,1))</f>
        <v/>
      </c>
      <c r="F177" t="str">
        <f>IF(数据录入!$B177="","",IF(ROW()=2,0,N(G176)))</f>
        <v/>
      </c>
      <c r="G177" t="str">
        <f>IF(数据录入!$B177="","",F177+数据录入!$B177)</f>
        <v/>
      </c>
      <c r="H177" t="str">
        <f>IF(数据录入!$B177="","",C177+IF(数据录入!$C177="",0,数据录入!$C177))</f>
        <v/>
      </c>
      <c r="I177" t="str">
        <f>IF(数据录入!$B177="","",H177-1)</f>
        <v/>
      </c>
      <c r="J177" t="str">
        <f>IF(OR(数据录入!$B177="",H177=0),"",ROUND(数据录入!$B177*100/H177,1))</f>
        <v/>
      </c>
    </row>
    <row r="178" ht="18.00" customHeight="true">
      <c r="A178" t="str">
        <f>IF(数据录入!$B178="","",IF(数据录入!$A178=""," ",数据录入!$A178))</f>
        <v/>
      </c>
      <c r="B178" t="str">
        <f>IF(数据录入!$B178="","",数据录入!$B178)</f>
        <v/>
      </c>
      <c r="C178" t="str">
        <f>IF(数据录入!$B178="","",COUNT(数据录入!$D178:$AG178))</f>
        <v/>
      </c>
      <c r="D178" t="str">
        <f>IF(数据录入!$B178="","",SUM(数据录入!$D178:$AG178))</f>
        <v/>
      </c>
      <c r="E178" t="str">
        <f>IF(OR(数据录入!$B178="",数据录入!$B178=0),"",ROUND(D178/(数据录入!$B178*100)*100,1))</f>
        <v/>
      </c>
      <c r="F178" t="str">
        <f>IF(数据录入!$B178="","",IF(ROW()=2,0,N(G177)))</f>
        <v/>
      </c>
      <c r="G178" t="str">
        <f>IF(数据录入!$B178="","",F178+数据录入!$B178)</f>
        <v/>
      </c>
      <c r="H178" t="str">
        <f>IF(数据录入!$B178="","",C178+IF(数据录入!$C178="",0,数据录入!$C178))</f>
        <v/>
      </c>
      <c r="I178" t="str">
        <f>IF(数据录入!$B178="","",H178-1)</f>
        <v/>
      </c>
      <c r="J178" t="str">
        <f>IF(OR(数据录入!$B178="",H178=0),"",ROUND(数据录入!$B178*100/H178,1))</f>
        <v/>
      </c>
    </row>
    <row r="179" ht="18.00" customHeight="true">
      <c r="A179" t="str">
        <f>IF(数据录入!$B179="","",IF(数据录入!$A179=""," ",数据录入!$A179))</f>
        <v/>
      </c>
      <c r="B179" t="str">
        <f>IF(数据录入!$B179="","",数据录入!$B179)</f>
        <v/>
      </c>
      <c r="C179" t="str">
        <f>IF(数据录入!$B179="","",COUNT(数据录入!$D179:$AG179))</f>
        <v/>
      </c>
      <c r="D179" t="str">
        <f>IF(数据录入!$B179="","",SUM(数据录入!$D179:$AG179))</f>
        <v/>
      </c>
      <c r="E179" t="str">
        <f>IF(OR(数据录入!$B179="",数据录入!$B179=0),"",ROUND(D179/(数据录入!$B179*100)*100,1))</f>
        <v/>
      </c>
      <c r="F179" t="str">
        <f>IF(数据录入!$B179="","",IF(ROW()=2,0,N(G178)))</f>
        <v/>
      </c>
      <c r="G179" t="str">
        <f>IF(数据录入!$B179="","",F179+数据录入!$B179)</f>
        <v/>
      </c>
      <c r="H179" t="str">
        <f>IF(数据录入!$B179="","",C179+IF(数据录入!$C179="",0,数据录入!$C179))</f>
        <v/>
      </c>
      <c r="I179" t="str">
        <f>IF(数据录入!$B179="","",H179-1)</f>
        <v/>
      </c>
      <c r="J179" t="str">
        <f>IF(OR(数据录入!$B179="",H179=0),"",ROUND(数据录入!$B179*100/H179,1))</f>
        <v/>
      </c>
    </row>
    <row r="180" ht="18.00" customHeight="true">
      <c r="A180" t="str">
        <f>IF(数据录入!$B180="","",IF(数据录入!$A180=""," ",数据录入!$A180))</f>
        <v/>
      </c>
      <c r="B180" t="str">
        <f>IF(数据录入!$B180="","",数据录入!$B180)</f>
        <v/>
      </c>
      <c r="C180" t="str">
        <f>IF(数据录入!$B180="","",COUNT(数据录入!$D180:$AG180))</f>
        <v/>
      </c>
      <c r="D180" t="str">
        <f>IF(数据录入!$B180="","",SUM(数据录入!$D180:$AG180))</f>
        <v/>
      </c>
      <c r="E180" t="str">
        <f>IF(OR(数据录入!$B180="",数据录入!$B180=0),"",ROUND(D180/(数据录入!$B180*100)*100,1))</f>
        <v/>
      </c>
      <c r="F180" t="str">
        <f>IF(数据录入!$B180="","",IF(ROW()=2,0,N(G179)))</f>
        <v/>
      </c>
      <c r="G180" t="str">
        <f>IF(数据录入!$B180="","",F180+数据录入!$B180)</f>
        <v/>
      </c>
      <c r="H180" t="str">
        <f>IF(数据录入!$B180="","",C180+IF(数据录入!$C180="",0,数据录入!$C180))</f>
        <v/>
      </c>
      <c r="I180" t="str">
        <f>IF(数据录入!$B180="","",H180-1)</f>
        <v/>
      </c>
      <c r="J180" t="str">
        <f>IF(OR(数据录入!$B180="",H180=0),"",ROUND(数据录入!$B180*100/H180,1))</f>
        <v/>
      </c>
    </row>
    <row r="181" ht="18.00" customHeight="true">
      <c r="A181" t="str">
        <f>IF(数据录入!$B181="","",IF(数据录入!$A181=""," ",数据录入!$A181))</f>
        <v/>
      </c>
      <c r="B181" t="str">
        <f>IF(数据录入!$B181="","",数据录入!$B181)</f>
        <v/>
      </c>
      <c r="C181" t="str">
        <f>IF(数据录入!$B181="","",COUNT(数据录入!$D181:$AG181))</f>
        <v/>
      </c>
      <c r="D181" t="str">
        <f>IF(数据录入!$B181="","",SUM(数据录入!$D181:$AG181))</f>
        <v/>
      </c>
      <c r="E181" t="str">
        <f>IF(OR(数据录入!$B181="",数据录入!$B181=0),"",ROUND(D181/(数据录入!$B181*100)*100,1))</f>
        <v/>
      </c>
      <c r="F181" t="str">
        <f>IF(数据录入!$B181="","",IF(ROW()=2,0,N(G180)))</f>
        <v/>
      </c>
      <c r="G181" t="str">
        <f>IF(数据录入!$B181="","",F181+数据录入!$B181)</f>
        <v/>
      </c>
      <c r="H181" t="str">
        <f>IF(数据录入!$B181="","",C181+IF(数据录入!$C181="",0,数据录入!$C181))</f>
        <v/>
      </c>
      <c r="I181" t="str">
        <f>IF(数据录入!$B181="","",H181-1)</f>
        <v/>
      </c>
      <c r="J181" t="str">
        <f>IF(OR(数据录入!$B181="",H181=0),"",ROUND(数据录入!$B181*100/H181,1))</f>
        <v/>
      </c>
    </row>
    <row r="182" ht="18.00" customHeight="true">
      <c r="A182" t="str">
        <f>IF(数据录入!$B182="","",IF(数据录入!$A182=""," ",数据录入!$A182))</f>
        <v/>
      </c>
      <c r="B182" t="str">
        <f>IF(数据录入!$B182="","",数据录入!$B182)</f>
        <v/>
      </c>
      <c r="C182" t="str">
        <f>IF(数据录入!$B182="","",COUNT(数据录入!$D182:$AG182))</f>
        <v/>
      </c>
      <c r="D182" t="str">
        <f>IF(数据录入!$B182="","",SUM(数据录入!$D182:$AG182))</f>
        <v/>
      </c>
      <c r="E182" t="str">
        <f>IF(OR(数据录入!$B182="",数据录入!$B182=0),"",ROUND(D182/(数据录入!$B182*100)*100,1))</f>
        <v/>
      </c>
      <c r="F182" t="str">
        <f>IF(数据录入!$B182="","",IF(ROW()=2,0,N(G181)))</f>
        <v/>
      </c>
      <c r="G182" t="str">
        <f>IF(数据录入!$B182="","",F182+数据录入!$B182)</f>
        <v/>
      </c>
      <c r="H182" t="str">
        <f>IF(数据录入!$B182="","",C182+IF(数据录入!$C182="",0,数据录入!$C182))</f>
        <v/>
      </c>
      <c r="I182" t="str">
        <f>IF(数据录入!$B182="","",H182-1)</f>
        <v/>
      </c>
      <c r="J182" t="str">
        <f>IF(OR(数据录入!$B182="",H182=0),"",ROUND(数据录入!$B182*100/H182,1))</f>
        <v/>
      </c>
    </row>
    <row r="183" ht="18.00" customHeight="true">
      <c r="A183" t="str">
        <f>IF(数据录入!$B183="","",IF(数据录入!$A183=""," ",数据录入!$A183))</f>
        <v/>
      </c>
      <c r="B183" t="str">
        <f>IF(数据录入!$B183="","",数据录入!$B183)</f>
        <v/>
      </c>
      <c r="C183" t="str">
        <f>IF(数据录入!$B183="","",COUNT(数据录入!$D183:$AG183))</f>
        <v/>
      </c>
      <c r="D183" t="str">
        <f>IF(数据录入!$B183="","",SUM(数据录入!$D183:$AG183))</f>
        <v/>
      </c>
      <c r="E183" t="str">
        <f>IF(OR(数据录入!$B183="",数据录入!$B183=0),"",ROUND(D183/(数据录入!$B183*100)*100,1))</f>
        <v/>
      </c>
      <c r="F183" t="str">
        <f>IF(数据录入!$B183="","",IF(ROW()=2,0,N(G182)))</f>
        <v/>
      </c>
      <c r="G183" t="str">
        <f>IF(数据录入!$B183="","",F183+数据录入!$B183)</f>
        <v/>
      </c>
      <c r="H183" t="str">
        <f>IF(数据录入!$B183="","",C183+IF(数据录入!$C183="",0,数据录入!$C183))</f>
        <v/>
      </c>
      <c r="I183" t="str">
        <f>IF(数据录入!$B183="","",H183-1)</f>
        <v/>
      </c>
      <c r="J183" t="str">
        <f>IF(OR(数据录入!$B183="",H183=0),"",ROUND(数据录入!$B183*100/H183,1))</f>
        <v/>
      </c>
    </row>
    <row r="184" ht="18.00" customHeight="true">
      <c r="A184" t="str">
        <f>IF(数据录入!$B184="","",IF(数据录入!$A184=""," ",数据录入!$A184))</f>
        <v/>
      </c>
      <c r="B184" t="str">
        <f>IF(数据录入!$B184="","",数据录入!$B184)</f>
        <v/>
      </c>
      <c r="C184" t="str">
        <f>IF(数据录入!$B184="","",COUNT(数据录入!$D184:$AG184))</f>
        <v/>
      </c>
      <c r="D184" t="str">
        <f>IF(数据录入!$B184="","",SUM(数据录入!$D184:$AG184))</f>
        <v/>
      </c>
      <c r="E184" t="str">
        <f>IF(OR(数据录入!$B184="",数据录入!$B184=0),"",ROUND(D184/(数据录入!$B184*100)*100,1))</f>
        <v/>
      </c>
      <c r="F184" t="str">
        <f>IF(数据录入!$B184="","",IF(ROW()=2,0,N(G183)))</f>
        <v/>
      </c>
      <c r="G184" t="str">
        <f>IF(数据录入!$B184="","",F184+数据录入!$B184)</f>
        <v/>
      </c>
      <c r="H184" t="str">
        <f>IF(数据录入!$B184="","",C184+IF(数据录入!$C184="",0,数据录入!$C184))</f>
        <v/>
      </c>
      <c r="I184" t="str">
        <f>IF(数据录入!$B184="","",H184-1)</f>
        <v/>
      </c>
      <c r="J184" t="str">
        <f>IF(OR(数据录入!$B184="",H184=0),"",ROUND(数据录入!$B184*100/H184,1))</f>
        <v/>
      </c>
    </row>
    <row r="185" ht="18.00" customHeight="true">
      <c r="A185" t="str">
        <f>IF(数据录入!$B185="","",IF(数据录入!$A185=""," ",数据录入!$A185))</f>
        <v/>
      </c>
      <c r="B185" t="str">
        <f>IF(数据录入!$B185="","",数据录入!$B185)</f>
        <v/>
      </c>
      <c r="C185" t="str">
        <f>IF(数据录入!$B185="","",COUNT(数据录入!$D185:$AG185))</f>
        <v/>
      </c>
      <c r="D185" t="str">
        <f>IF(数据录入!$B185="","",SUM(数据录入!$D185:$AG185))</f>
        <v/>
      </c>
      <c r="E185" t="str">
        <f>IF(OR(数据录入!$B185="",数据录入!$B185=0),"",ROUND(D185/(数据录入!$B185*100)*100,1))</f>
        <v/>
      </c>
      <c r="F185" t="str">
        <f>IF(数据录入!$B185="","",IF(ROW()=2,0,N(G184)))</f>
        <v/>
      </c>
      <c r="G185" t="str">
        <f>IF(数据录入!$B185="","",F185+数据录入!$B185)</f>
        <v/>
      </c>
      <c r="H185" t="str">
        <f>IF(数据录入!$B185="","",C185+IF(数据录入!$C185="",0,数据录入!$C185))</f>
        <v/>
      </c>
      <c r="I185" t="str">
        <f>IF(数据录入!$B185="","",H185-1)</f>
        <v/>
      </c>
      <c r="J185" t="str">
        <f>IF(OR(数据录入!$B185="",H185=0),"",ROUND(数据录入!$B185*100/H185,1))</f>
        <v/>
      </c>
    </row>
    <row r="186" ht="18.00" customHeight="true">
      <c r="A186" t="str">
        <f>IF(数据录入!$B186="","",IF(数据录入!$A186=""," ",数据录入!$A186))</f>
        <v/>
      </c>
      <c r="B186" t="str">
        <f>IF(数据录入!$B186="","",数据录入!$B186)</f>
        <v/>
      </c>
      <c r="C186" t="str">
        <f>IF(数据录入!$B186="","",COUNT(数据录入!$D186:$AG186))</f>
        <v/>
      </c>
      <c r="D186" t="str">
        <f>IF(数据录入!$B186="","",SUM(数据录入!$D186:$AG186))</f>
        <v/>
      </c>
      <c r="E186" t="str">
        <f>IF(OR(数据录入!$B186="",数据录入!$B186=0),"",ROUND(D186/(数据录入!$B186*100)*100,1))</f>
        <v/>
      </c>
      <c r="F186" t="str">
        <f>IF(数据录入!$B186="","",IF(ROW()=2,0,N(G185)))</f>
        <v/>
      </c>
      <c r="G186" t="str">
        <f>IF(数据录入!$B186="","",F186+数据录入!$B186)</f>
        <v/>
      </c>
      <c r="H186" t="str">
        <f>IF(数据录入!$B186="","",C186+IF(数据录入!$C186="",0,数据录入!$C186))</f>
        <v/>
      </c>
      <c r="I186" t="str">
        <f>IF(数据录入!$B186="","",H186-1)</f>
        <v/>
      </c>
      <c r="J186" t="str">
        <f>IF(OR(数据录入!$B186="",H186=0),"",ROUND(数据录入!$B186*100/H186,1))</f>
        <v/>
      </c>
    </row>
    <row r="187" ht="18.00" customHeight="true">
      <c r="A187" t="str">
        <f>IF(数据录入!$B187="","",IF(数据录入!$A187=""," ",数据录入!$A187))</f>
        <v/>
      </c>
      <c r="B187" t="str">
        <f>IF(数据录入!$B187="","",数据录入!$B187)</f>
        <v/>
      </c>
      <c r="C187" t="str">
        <f>IF(数据录入!$B187="","",COUNT(数据录入!$D187:$AG187))</f>
        <v/>
      </c>
      <c r="D187" t="str">
        <f>IF(数据录入!$B187="","",SUM(数据录入!$D187:$AG187))</f>
        <v/>
      </c>
      <c r="E187" t="str">
        <f>IF(OR(数据录入!$B187="",数据录入!$B187=0),"",ROUND(D187/(数据录入!$B187*100)*100,1))</f>
        <v/>
      </c>
      <c r="F187" t="str">
        <f>IF(数据录入!$B187="","",IF(ROW()=2,0,N(G186)))</f>
        <v/>
      </c>
      <c r="G187" t="str">
        <f>IF(数据录入!$B187="","",F187+数据录入!$B187)</f>
        <v/>
      </c>
      <c r="H187" t="str">
        <f>IF(数据录入!$B187="","",C187+IF(数据录入!$C187="",0,数据录入!$C187))</f>
        <v/>
      </c>
      <c r="I187" t="str">
        <f>IF(数据录入!$B187="","",H187-1)</f>
        <v/>
      </c>
      <c r="J187" t="str">
        <f>IF(OR(数据录入!$B187="",H187=0),"",ROUND(数据录入!$B187*100/H187,1))</f>
        <v/>
      </c>
    </row>
    <row r="188" ht="18.00" customHeight="true">
      <c r="A188" t="str">
        <f>IF(数据录入!$B188="","",IF(数据录入!$A188=""," ",数据录入!$A188))</f>
        <v/>
      </c>
      <c r="B188" t="str">
        <f>IF(数据录入!$B188="","",数据录入!$B188)</f>
        <v/>
      </c>
      <c r="C188" t="str">
        <f>IF(数据录入!$B188="","",COUNT(数据录入!$D188:$AG188))</f>
        <v/>
      </c>
      <c r="D188" t="str">
        <f>IF(数据录入!$B188="","",SUM(数据录入!$D188:$AG188))</f>
        <v/>
      </c>
      <c r="E188" t="str">
        <f>IF(OR(数据录入!$B188="",数据录入!$B188=0),"",ROUND(D188/(数据录入!$B188*100)*100,1))</f>
        <v/>
      </c>
      <c r="F188" t="str">
        <f>IF(数据录入!$B188="","",IF(ROW()=2,0,N(G187)))</f>
        <v/>
      </c>
      <c r="G188" t="str">
        <f>IF(数据录入!$B188="","",F188+数据录入!$B188)</f>
        <v/>
      </c>
      <c r="H188" t="str">
        <f>IF(数据录入!$B188="","",C188+IF(数据录入!$C188="",0,数据录入!$C188))</f>
        <v/>
      </c>
      <c r="I188" t="str">
        <f>IF(数据录入!$B188="","",H188-1)</f>
        <v/>
      </c>
      <c r="J188" t="str">
        <f>IF(OR(数据录入!$B188="",H188=0),"",ROUND(数据录入!$B188*100/H188,1))</f>
        <v/>
      </c>
    </row>
    <row r="189" ht="18.00" customHeight="true">
      <c r="A189" t="str">
        <f>IF(数据录入!$B189="","",IF(数据录入!$A189=""," ",数据录入!$A189))</f>
        <v/>
      </c>
      <c r="B189" t="str">
        <f>IF(数据录入!$B189="","",数据录入!$B189)</f>
        <v/>
      </c>
      <c r="C189" t="str">
        <f>IF(数据录入!$B189="","",COUNT(数据录入!$D189:$AG189))</f>
        <v/>
      </c>
      <c r="D189" t="str">
        <f>IF(数据录入!$B189="","",SUM(数据录入!$D189:$AG189))</f>
        <v/>
      </c>
      <c r="E189" t="str">
        <f>IF(OR(数据录入!$B189="",数据录入!$B189=0),"",ROUND(D189/(数据录入!$B189*100)*100,1))</f>
        <v/>
      </c>
      <c r="F189" t="str">
        <f>IF(数据录入!$B189="","",IF(ROW()=2,0,N(G188)))</f>
        <v/>
      </c>
      <c r="G189" t="str">
        <f>IF(数据录入!$B189="","",F189+数据录入!$B189)</f>
        <v/>
      </c>
      <c r="H189" t="str">
        <f>IF(数据录入!$B189="","",C189+IF(数据录入!$C189="",0,数据录入!$C189))</f>
        <v/>
      </c>
      <c r="I189" t="str">
        <f>IF(数据录入!$B189="","",H189-1)</f>
        <v/>
      </c>
      <c r="J189" t="str">
        <f>IF(OR(数据录入!$B189="",H189=0),"",ROUND(数据录入!$B189*100/H189,1))</f>
        <v/>
      </c>
    </row>
    <row r="190" ht="18.00" customHeight="true">
      <c r="A190" t="str">
        <f>IF(数据录入!$B190="","",IF(数据录入!$A190=""," ",数据录入!$A190))</f>
        <v/>
      </c>
      <c r="B190" t="str">
        <f>IF(数据录入!$B190="","",数据录入!$B190)</f>
        <v/>
      </c>
      <c r="C190" t="str">
        <f>IF(数据录入!$B190="","",COUNT(数据录入!$D190:$AG190))</f>
        <v/>
      </c>
      <c r="D190" t="str">
        <f>IF(数据录入!$B190="","",SUM(数据录入!$D190:$AG190))</f>
        <v/>
      </c>
      <c r="E190" t="str">
        <f>IF(OR(数据录入!$B190="",数据录入!$B190=0),"",ROUND(D190/(数据录入!$B190*100)*100,1))</f>
        <v/>
      </c>
      <c r="F190" t="str">
        <f>IF(数据录入!$B190="","",IF(ROW()=2,0,N(G189)))</f>
        <v/>
      </c>
      <c r="G190" t="str">
        <f>IF(数据录入!$B190="","",F190+数据录入!$B190)</f>
        <v/>
      </c>
      <c r="H190" t="str">
        <f>IF(数据录入!$B190="","",C190+IF(数据录入!$C190="",0,数据录入!$C190))</f>
        <v/>
      </c>
      <c r="I190" t="str">
        <f>IF(数据录入!$B190="","",H190-1)</f>
        <v/>
      </c>
      <c r="J190" t="str">
        <f>IF(OR(数据录入!$B190="",H190=0),"",ROUND(数据录入!$B190*100/H190,1))</f>
        <v/>
      </c>
    </row>
    <row r="191" ht="18.00" customHeight="true">
      <c r="A191" t="str">
        <f>IF(数据录入!$B191="","",IF(数据录入!$A191=""," ",数据录入!$A191))</f>
        <v/>
      </c>
      <c r="B191" t="str">
        <f>IF(数据录入!$B191="","",数据录入!$B191)</f>
        <v/>
      </c>
      <c r="C191" t="str">
        <f>IF(数据录入!$B191="","",COUNT(数据录入!$D191:$AG191))</f>
        <v/>
      </c>
      <c r="D191" t="str">
        <f>IF(数据录入!$B191="","",SUM(数据录入!$D191:$AG191))</f>
        <v/>
      </c>
      <c r="E191" t="str">
        <f>IF(OR(数据录入!$B191="",数据录入!$B191=0),"",ROUND(D191/(数据录入!$B191*100)*100,1))</f>
        <v/>
      </c>
      <c r="F191" t="str">
        <f>IF(数据录入!$B191="","",IF(ROW()=2,0,N(G190)))</f>
        <v/>
      </c>
      <c r="G191" t="str">
        <f>IF(数据录入!$B191="","",F191+数据录入!$B191)</f>
        <v/>
      </c>
      <c r="H191" t="str">
        <f>IF(数据录入!$B191="","",C191+IF(数据录入!$C191="",0,数据录入!$C191))</f>
        <v/>
      </c>
      <c r="I191" t="str">
        <f>IF(数据录入!$B191="","",H191-1)</f>
        <v/>
      </c>
      <c r="J191" t="str">
        <f>IF(OR(数据录入!$B191="",H191=0),"",ROUND(数据录入!$B191*100/H191,1))</f>
        <v/>
      </c>
    </row>
    <row r="192" ht="18.00" customHeight="true">
      <c r="A192" t="str">
        <f>IF(数据录入!$B192="","",IF(数据录入!$A192=""," ",数据录入!$A192))</f>
        <v/>
      </c>
      <c r="B192" t="str">
        <f>IF(数据录入!$B192="","",数据录入!$B192)</f>
        <v/>
      </c>
      <c r="C192" t="str">
        <f>IF(数据录入!$B192="","",COUNT(数据录入!$D192:$AG192))</f>
        <v/>
      </c>
      <c r="D192" t="str">
        <f>IF(数据录入!$B192="","",SUM(数据录入!$D192:$AG192))</f>
        <v/>
      </c>
      <c r="E192" t="str">
        <f>IF(OR(数据录入!$B192="",数据录入!$B192=0),"",ROUND(D192/(数据录入!$B192*100)*100,1))</f>
        <v/>
      </c>
      <c r="F192" t="str">
        <f>IF(数据录入!$B192="","",IF(ROW()=2,0,N(G191)))</f>
        <v/>
      </c>
      <c r="G192" t="str">
        <f>IF(数据录入!$B192="","",F192+数据录入!$B192)</f>
        <v/>
      </c>
      <c r="H192" t="str">
        <f>IF(数据录入!$B192="","",C192+IF(数据录入!$C192="",0,数据录入!$C192))</f>
        <v/>
      </c>
      <c r="I192" t="str">
        <f>IF(数据录入!$B192="","",H192-1)</f>
        <v/>
      </c>
      <c r="J192" t="str">
        <f>IF(OR(数据录入!$B192="",H192=0),"",ROUND(数据录入!$B192*100/H192,1))</f>
        <v/>
      </c>
    </row>
    <row r="193" ht="18.00" customHeight="true">
      <c r="A193" t="str">
        <f>IF(数据录入!$B193="","",IF(数据录入!$A193=""," ",数据录入!$A193))</f>
        <v/>
      </c>
      <c r="B193" t="str">
        <f>IF(数据录入!$B193="","",数据录入!$B193)</f>
        <v/>
      </c>
      <c r="C193" t="str">
        <f>IF(数据录入!$B193="","",COUNT(数据录入!$D193:$AG193))</f>
        <v/>
      </c>
      <c r="D193" t="str">
        <f>IF(数据录入!$B193="","",SUM(数据录入!$D193:$AG193))</f>
        <v/>
      </c>
      <c r="E193" t="str">
        <f>IF(OR(数据录入!$B193="",数据录入!$B193=0),"",ROUND(D193/(数据录入!$B193*100)*100,1))</f>
        <v/>
      </c>
      <c r="F193" t="str">
        <f>IF(数据录入!$B193="","",IF(ROW()=2,0,N(G192)))</f>
        <v/>
      </c>
      <c r="G193" t="str">
        <f>IF(数据录入!$B193="","",F193+数据录入!$B193)</f>
        <v/>
      </c>
      <c r="H193" t="str">
        <f>IF(数据录入!$B193="","",C193+IF(数据录入!$C193="",0,数据录入!$C193))</f>
        <v/>
      </c>
      <c r="I193" t="str">
        <f>IF(数据录入!$B193="","",H193-1)</f>
        <v/>
      </c>
      <c r="J193" t="str">
        <f>IF(OR(数据录入!$B193="",H193=0),"",ROUND(数据录入!$B193*100/H193,1))</f>
        <v/>
      </c>
    </row>
    <row r="194" ht="18.00" customHeight="true">
      <c r="A194" t="str">
        <f>IF(数据录入!$B194="","",IF(数据录入!$A194=""," ",数据录入!$A194))</f>
        <v/>
      </c>
      <c r="B194" t="str">
        <f>IF(数据录入!$B194="","",数据录入!$B194)</f>
        <v/>
      </c>
      <c r="C194" t="str">
        <f>IF(数据录入!$B194="","",COUNT(数据录入!$D194:$AG194))</f>
        <v/>
      </c>
      <c r="D194" t="str">
        <f>IF(数据录入!$B194="","",SUM(数据录入!$D194:$AG194))</f>
        <v/>
      </c>
      <c r="E194" t="str">
        <f>IF(OR(数据录入!$B194="",数据录入!$B194=0),"",ROUND(D194/(数据录入!$B194*100)*100,1))</f>
        <v/>
      </c>
      <c r="F194" t="str">
        <f>IF(数据录入!$B194="","",IF(ROW()=2,0,N(G193)))</f>
        <v/>
      </c>
      <c r="G194" t="str">
        <f>IF(数据录入!$B194="","",F194+数据录入!$B194)</f>
        <v/>
      </c>
      <c r="H194" t="str">
        <f>IF(数据录入!$B194="","",C194+IF(数据录入!$C194="",0,数据录入!$C194))</f>
        <v/>
      </c>
      <c r="I194" t="str">
        <f>IF(数据录入!$B194="","",H194-1)</f>
        <v/>
      </c>
      <c r="J194" t="str">
        <f>IF(OR(数据录入!$B194="",H194=0),"",ROUND(数据录入!$B194*100/H194,1))</f>
        <v/>
      </c>
    </row>
    <row r="195" ht="18.00" customHeight="true">
      <c r="A195" t="str">
        <f>IF(数据录入!$B195="","",IF(数据录入!$A195=""," ",数据录入!$A195))</f>
        <v/>
      </c>
      <c r="B195" t="str">
        <f>IF(数据录入!$B195="","",数据录入!$B195)</f>
        <v/>
      </c>
      <c r="C195" t="str">
        <f>IF(数据录入!$B195="","",COUNT(数据录入!$D195:$AG195))</f>
        <v/>
      </c>
      <c r="D195" t="str">
        <f>IF(数据录入!$B195="","",SUM(数据录入!$D195:$AG195))</f>
        <v/>
      </c>
      <c r="E195" t="str">
        <f>IF(OR(数据录入!$B195="",数据录入!$B195=0),"",ROUND(D195/(数据录入!$B195*100)*100,1))</f>
        <v/>
      </c>
      <c r="F195" t="str">
        <f>IF(数据录入!$B195="","",IF(ROW()=2,0,N(G194)))</f>
        <v/>
      </c>
      <c r="G195" t="str">
        <f>IF(数据录入!$B195="","",F195+数据录入!$B195)</f>
        <v/>
      </c>
      <c r="H195" t="str">
        <f>IF(数据录入!$B195="","",C195+IF(数据录入!$C195="",0,数据录入!$C195))</f>
        <v/>
      </c>
      <c r="I195" t="str">
        <f>IF(数据录入!$B195="","",H195-1)</f>
        <v/>
      </c>
      <c r="J195" t="str">
        <f>IF(OR(数据录入!$B195="",H195=0),"",ROUND(数据录入!$B195*100/H195,1))</f>
        <v/>
      </c>
    </row>
    <row r="196" ht="18.00" customHeight="true">
      <c r="A196" t="str">
        <f>IF(数据录入!$B196="","",IF(数据录入!$A196=""," ",数据录入!$A196))</f>
        <v/>
      </c>
      <c r="B196" t="str">
        <f>IF(数据录入!$B196="","",数据录入!$B196)</f>
        <v/>
      </c>
      <c r="C196" t="str">
        <f>IF(数据录入!$B196="","",COUNT(数据录入!$D196:$AG196))</f>
        <v/>
      </c>
      <c r="D196" t="str">
        <f>IF(数据录入!$B196="","",SUM(数据录入!$D196:$AG196))</f>
        <v/>
      </c>
      <c r="E196" t="str">
        <f>IF(OR(数据录入!$B196="",数据录入!$B196=0),"",ROUND(D196/(数据录入!$B196*100)*100,1))</f>
        <v/>
      </c>
      <c r="F196" t="str">
        <f>IF(数据录入!$B196="","",IF(ROW()=2,0,N(G195)))</f>
        <v/>
      </c>
      <c r="G196" t="str">
        <f>IF(数据录入!$B196="","",F196+数据录入!$B196)</f>
        <v/>
      </c>
      <c r="H196" t="str">
        <f>IF(数据录入!$B196="","",C196+IF(数据录入!$C196="",0,数据录入!$C196))</f>
        <v/>
      </c>
      <c r="I196" t="str">
        <f>IF(数据录入!$B196="","",H196-1)</f>
        <v/>
      </c>
      <c r="J196" t="str">
        <f>IF(OR(数据录入!$B196="",H196=0),"",ROUND(数据录入!$B196*100/H196,1))</f>
        <v/>
      </c>
    </row>
    <row r="197" ht="18.00" customHeight="true">
      <c r="A197" t="str">
        <f>IF(数据录入!$B197="","",IF(数据录入!$A197=""," ",数据录入!$A197))</f>
        <v/>
      </c>
      <c r="B197" t="str">
        <f>IF(数据录入!$B197="","",数据录入!$B197)</f>
        <v/>
      </c>
      <c r="C197" t="str">
        <f>IF(数据录入!$B197="","",COUNT(数据录入!$D197:$AG197))</f>
        <v/>
      </c>
      <c r="D197" t="str">
        <f>IF(数据录入!$B197="","",SUM(数据录入!$D197:$AG197))</f>
        <v/>
      </c>
      <c r="E197" t="str">
        <f>IF(OR(数据录入!$B197="",数据录入!$B197=0),"",ROUND(D197/(数据录入!$B197*100)*100,1))</f>
        <v/>
      </c>
      <c r="F197" t="str">
        <f>IF(数据录入!$B197="","",IF(ROW()=2,0,N(G196)))</f>
        <v/>
      </c>
      <c r="G197" t="str">
        <f>IF(数据录入!$B197="","",F197+数据录入!$B197)</f>
        <v/>
      </c>
      <c r="H197" t="str">
        <f>IF(数据录入!$B197="","",C197+IF(数据录入!$C197="",0,数据录入!$C197))</f>
        <v/>
      </c>
      <c r="I197" t="str">
        <f>IF(数据录入!$B197="","",H197-1)</f>
        <v/>
      </c>
      <c r="J197" t="str">
        <f>IF(OR(数据录入!$B197="",H197=0),"",ROUND(数据录入!$B197*100/H197,1))</f>
        <v/>
      </c>
    </row>
    <row r="198" ht="18.00" customHeight="true">
      <c r="A198" t="str">
        <f>IF(数据录入!$B198="","",IF(数据录入!$A198=""," ",数据录入!$A198))</f>
        <v/>
      </c>
      <c r="B198" t="str">
        <f>IF(数据录入!$B198="","",数据录入!$B198)</f>
        <v/>
      </c>
      <c r="C198" t="str">
        <f>IF(数据录入!$B198="","",COUNT(数据录入!$D198:$AG198))</f>
        <v/>
      </c>
      <c r="D198" t="str">
        <f>IF(数据录入!$B198="","",SUM(数据录入!$D198:$AG198))</f>
        <v/>
      </c>
      <c r="E198" t="str">
        <f>IF(OR(数据录入!$B198="",数据录入!$B198=0),"",ROUND(D198/(数据录入!$B198*100)*100,1))</f>
        <v/>
      </c>
      <c r="F198" t="str">
        <f>IF(数据录入!$B198="","",IF(ROW()=2,0,N(G197)))</f>
        <v/>
      </c>
      <c r="G198" t="str">
        <f>IF(数据录入!$B198="","",F198+数据录入!$B198)</f>
        <v/>
      </c>
      <c r="H198" t="str">
        <f>IF(数据录入!$B198="","",C198+IF(数据录入!$C198="",0,数据录入!$C198))</f>
        <v/>
      </c>
      <c r="I198" t="str">
        <f>IF(数据录入!$B198="","",H198-1)</f>
        <v/>
      </c>
      <c r="J198" t="str">
        <f>IF(OR(数据录入!$B198="",H198=0),"",ROUND(数据录入!$B198*100/H198,1))</f>
        <v/>
      </c>
    </row>
    <row r="199" ht="18.00" customHeight="true">
      <c r="A199" t="str">
        <f>IF(数据录入!$B199="","",IF(数据录入!$A199=""," ",数据录入!$A199))</f>
        <v/>
      </c>
      <c r="B199" t="str">
        <f>IF(数据录入!$B199="","",数据录入!$B199)</f>
        <v/>
      </c>
      <c r="C199" t="str">
        <f>IF(数据录入!$B199="","",COUNT(数据录入!$D199:$AG199))</f>
        <v/>
      </c>
      <c r="D199" t="str">
        <f>IF(数据录入!$B199="","",SUM(数据录入!$D199:$AG199))</f>
        <v/>
      </c>
      <c r="E199" t="str">
        <f>IF(OR(数据录入!$B199="",数据录入!$B199=0),"",ROUND(D199/(数据录入!$B199*100)*100,1))</f>
        <v/>
      </c>
      <c r="F199" t="str">
        <f>IF(数据录入!$B199="","",IF(ROW()=2,0,N(G198)))</f>
        <v/>
      </c>
      <c r="G199" t="str">
        <f>IF(数据录入!$B199="","",F199+数据录入!$B199)</f>
        <v/>
      </c>
      <c r="H199" t="str">
        <f>IF(数据录入!$B199="","",C199+IF(数据录入!$C199="",0,数据录入!$C199))</f>
        <v/>
      </c>
      <c r="I199" t="str">
        <f>IF(数据录入!$B199="","",H199-1)</f>
        <v/>
      </c>
      <c r="J199" t="str">
        <f>IF(OR(数据录入!$B199="",H199=0),"",ROUND(数据录入!$B199*100/H199,1))</f>
        <v/>
      </c>
    </row>
    <row r="200" ht="18.00" customHeight="true">
      <c r="A200" t="str">
        <f>IF(数据录入!$B200="","",IF(数据录入!$A200=""," ",数据录入!$A200))</f>
        <v/>
      </c>
      <c r="B200" t="str">
        <f>IF(数据录入!$B200="","",数据录入!$B200)</f>
        <v/>
      </c>
      <c r="C200" t="str">
        <f>IF(数据录入!$B200="","",COUNT(数据录入!$D200:$AG200))</f>
        <v/>
      </c>
      <c r="D200" t="str">
        <f>IF(数据录入!$B200="","",SUM(数据录入!$D200:$AG200))</f>
        <v/>
      </c>
      <c r="E200" t="str">
        <f>IF(OR(数据录入!$B200="",数据录入!$B200=0),"",ROUND(D200/(数据录入!$B200*100)*100,1))</f>
        <v/>
      </c>
      <c r="F200" t="str">
        <f>IF(数据录入!$B200="","",IF(ROW()=2,0,N(G199)))</f>
        <v/>
      </c>
      <c r="G200" t="str">
        <f>IF(数据录入!$B200="","",F200+数据录入!$B200)</f>
        <v/>
      </c>
      <c r="H200" t="str">
        <f>IF(数据录入!$B200="","",C200+IF(数据录入!$C200="",0,数据录入!$C200))</f>
        <v/>
      </c>
      <c r="I200" t="str">
        <f>IF(数据录入!$B200="","",H200-1)</f>
        <v/>
      </c>
      <c r="J200" t="str">
        <f>IF(OR(数据录入!$B200="",H200=0),"",ROUND(数据录入!$B200*100/H200,1))</f>
        <v/>
      </c>
    </row>
  </sheetData>
  <phoneticPr fontId="0" type="noConversion"/>
  <dataValidations count="6">
    <dataValidation type="list" errorStyle="stop" showInputMessage="0" showErrorMessage="1" sqref="K2:K200">
      <formula1>"硬质岩,软质岩"</formula1>
    </dataValidation>
    <dataValidation type="list" errorStyle="stop" showInputMessage="0" showErrorMessage="1" sqref="L2:L200">
      <formula1>"整体状或巨厚层状结构,块状结构,次块状结构,厚层状或中厚层状结构,互层状结构,薄层状结构,镶嵌结构,块裂结构,碎块状或碎屑状结构,碎裂结构,块状或次块状结构,厚层、中厚层或互层状结构,薄层状或块裂结构,碎块状或碎屑状散体结构"</formula1>
    </dataValidation>
    <dataValidation type="list" errorStyle="stop" showInputMessage="0" showErrorMessage="1" sqref="M2:M200">
      <formula1>"坚硬岩,中硬岩,较软岩,软岩"</formula1>
    </dataValidation>
    <dataValidation type="list" errorStyle="stop" showInputMessage="0" showErrorMessage="1" sqref="N2:N200">
      <formula1>"均一无软弱夹层,有软弱夹层"</formula1>
    </dataValidation>
    <dataValidation type="list" errorStyle="stop" showInputMessage="0" showErrorMessage="1" sqref="O2:O200">
      <formula1>"干燥,潮湿,湿润"</formula1>
    </dataValidation>
    <dataValidation type="list" errorStyle="stop" showInputMessage="0" showErrorMessage="1" sqref="P2:P200">
      <formula1>"是,否,不设置"</formula1>
    </dataValidation>
  </dataValidations>
  <pageMargins left="0.75" right="0.75" top="0.75" bottom="0.75" header="0.25" footer="0.25"/>
  <pageSetup orientation="portrait" paperSize="9" scale="100"/>
  <headerFooter alignWithMargins="1"/>
</worksheet>
</file>

<file path=xl/worksheets/sheet3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A32"/>
  <sheetViews>
    <sheetView showGridLines="1" tabSelected="0" workbookViewId="0">
      <selection activeCell="A1" sqref="A1"/>
    </sheetView>
  </sheetViews>
  <sheetFormatPr defaultRowHeight="18.00" customHeight="1" defaultColWidth="10.79"/>
  <cols>
    <col min="1" max="1" width="141.05" customWidth="1" hidden="0"/>
  </cols>
  <sheetData>
    <row r="1" ht="18.00" customHeight="true">
      <c r="A1" t="s" s="6">
        <v>55</v>
      </c>
    </row>
    <row r="2" ht="18.00" customHeight="true">
      <c r="A2" t="s">
        <v>54</v>
      </c>
    </row>
    <row r="3" ht="18.00" customHeight="true">
      <c r="A3" t="s" s="6">
        <v>56</v>
      </c>
    </row>
    <row r="4" ht="18.00" customHeight="true">
      <c r="A4" t="s">
        <v>57</v>
      </c>
    </row>
    <row r="5" ht="18.00" customHeight="true">
      <c r="A5" t="s">
        <v>58</v>
      </c>
    </row>
    <row r="6" ht="18.00" customHeight="true">
      <c r="A6" t="s">
        <v>59</v>
      </c>
    </row>
    <row r="7" ht="18.00" customHeight="true">
      <c r="A7" t="s">
        <v>60</v>
      </c>
    </row>
    <row r="8" ht="18.00" customHeight="true">
      <c r="A8" t="s">
        <v>61</v>
      </c>
    </row>
    <row r="9" ht="18.00" customHeight="true">
      <c r="A9" t="s" s="6">
        <v>62</v>
      </c>
    </row>
    <row r="10" ht="18.00" customHeight="true">
      <c r="A10" t="s" s="6">
        <v>54</v>
      </c>
    </row>
    <row r="11" ht="18.00" customHeight="true">
      <c r="A11" t="s" s="6">
        <v>63</v>
      </c>
    </row>
    <row r="12" ht="18.00" customHeight="true">
      <c r="A12" t="s">
        <v>64</v>
      </c>
    </row>
    <row r="13" ht="18.00" customHeight="true">
      <c r="A13" t="s" s="6">
        <v>65</v>
      </c>
    </row>
    <row r="14" ht="18.00" customHeight="true">
      <c r="A14" t="s">
        <v>66</v>
      </c>
    </row>
    <row r="15" ht="18.00" customHeight="true">
      <c r="A15" t="s" s="6">
        <v>67</v>
      </c>
    </row>
    <row r="16" ht="18.00" customHeight="true">
      <c r="A16" t="s" s="6">
        <v>54</v>
      </c>
    </row>
    <row r="17" ht="18.00" customHeight="true">
      <c r="A17" t="s" s="6">
        <v>68</v>
      </c>
    </row>
    <row r="18" ht="18.00" customHeight="true">
      <c r="A18" t="s">
        <v>69</v>
      </c>
    </row>
    <row r="19" ht="18.00" customHeight="true">
      <c r="A19" t="s" s="6">
        <v>70</v>
      </c>
    </row>
    <row r="20" ht="18.00" customHeight="true">
      <c r="A20" t="s" s="6">
        <v>54</v>
      </c>
    </row>
    <row r="21" ht="18.00" customHeight="true">
      <c r="A21" t="s" s="6">
        <v>71</v>
      </c>
    </row>
    <row r="22" ht="18.00" customHeight="true">
      <c r="A22" t="s">
        <v>72</v>
      </c>
    </row>
    <row r="23" ht="18.00" customHeight="true">
      <c r="A23" t="s" s="6">
        <v>54</v>
      </c>
    </row>
    <row r="24" ht="18.00" customHeight="true">
      <c r="A24" t="s" s="6">
        <v>73</v>
      </c>
    </row>
    <row r="25" ht="18.00" customHeight="true">
      <c r="A25" t="s">
        <v>74</v>
      </c>
    </row>
    <row r="27" ht="18.00" customHeight="true">
      <c r="A27" s="6"/>
    </row>
    <row r="28" ht="18.00" customHeight="true">
      <c r="A28" s="6"/>
    </row>
    <row r="30" ht="18.00" customHeight="true">
      <c r="A30" s="6"/>
    </row>
    <row r="32" ht="18.00" customHeight="true">
      <c r="A32" s="6"/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数据录入</vt:lpstr>
      <vt:lpstr>计算成果</vt:lpstr>
      <vt:lpstr>填写说明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1970-01-01T00:00:00Z</dcterms:created>
  <dcterms:modified xsi:type="dcterms:W3CDTF">1970-01-01T00:00:00Z</dcterms:modified>
</cp:coreProperties>
</file>