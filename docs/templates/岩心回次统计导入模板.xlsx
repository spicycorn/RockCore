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g" ContentType="image/jpeg"/>
  <Default Extension="jpeg" ContentType="image/jpeg"/>
  <Default Extension="svg" ContentType="image/svg+xml"/>
  <Default Extension="gif" ContentType="image/gif"/>
  <Default Extension="bmp" ContentType="image/bmp"/>
  <Default Extension="tiff" ContentType="image/tiff"/>
  <Default Extension="emf" ContentType="image/x-emf"/>
  <Default Extension="wmf" ContentType="image/x-wmf"/>
  <Default Extension="wdp" ContentType="image/vnd.ms-photo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
<Relationship Id="rId2" Type="http://schemas.openxmlformats.org/package/2006/relationships/metadata/core-properties" Target="docProps/core.xml"/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907"/>
  <workbookPr/>
  <xr:revisionPtr revIDLastSave="0" documentId="13_ncr:1_{00000000-0000-0000-0000-000000000000}" xr6:coauthVersionLast="47" xr6:coauthVersionMax="47" xr10:uidLastSave="{00000000-0000-0000-0000-000000000000}"/>
  <bookViews>
    <workbookView xWindow="0" yWindow="0" windowWidth="22260" windowHeight="12645" xr2:uid="{00000000-000D-0000-FFFF-FFFF00000000}" activeTab="0"/>
  </bookViews>
  <sheets>
    <sheet name="数据录入" sheetId="1" r:id="rId1"/>
    <sheet name="计算成果" sheetId="2" r:id="rId2"/>
    <sheet name="填写说明" sheetId="3" r:id="rId3"/>
  </sheet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<sst xmlns="http://schemas.openxmlformats.org/spreadsheetml/2006/main" count="2020" uniqueCount="75">
  <si>
    <t>回次号</t>
  </si>
  <si>
    <t>回次进尺(m)*</t>
  </si>
  <si>
    <t>&lt;10cm碎屑数*</t>
  </si>
  <si>
    <t>L1(cm)</t>
  </si>
  <si>
    <t>L2(cm)</t>
  </si>
  <si>
    <t>L3(cm)</t>
  </si>
  <si>
    <t>L4(cm)</t>
  </si>
  <si>
    <t>L5(cm)</t>
  </si>
  <si>
    <t>L6(cm)</t>
  </si>
  <si>
    <t>L7(cm)</t>
  </si>
  <si>
    <t>L8(cm)</t>
  </si>
  <si>
    <t>L9(cm)</t>
  </si>
  <si>
    <t>L10(cm)</t>
  </si>
  <si>
    <t>L11(cm)</t>
  </si>
  <si>
    <t>L12(cm)</t>
  </si>
  <si>
    <t>L13(cm)</t>
  </si>
  <si>
    <t>L14(cm)</t>
  </si>
  <si>
    <t>L15(cm)</t>
  </si>
  <si>
    <t>L16(cm)</t>
  </si>
  <si>
    <t>L17(cm)</t>
  </si>
  <si>
    <t>L18(cm)</t>
  </si>
  <si>
    <t>L19(cm)</t>
  </si>
  <si>
    <t>L20(cm)</t>
  </si>
  <si>
    <t>L21(cm)</t>
  </si>
  <si>
    <t>L22(cm)</t>
  </si>
  <si>
    <t>L23(cm)</t>
  </si>
  <si>
    <t>L24(cm)</t>
  </si>
  <si>
    <t>L25(cm)</t>
  </si>
  <si>
    <t>L26(cm)</t>
  </si>
  <si>
    <t>L27(cm)</t>
  </si>
  <si>
    <t>L28(cm)</t>
  </si>
  <si>
    <t>L29(cm)</t>
  </si>
  <si>
    <t>L30(cm)</t>
  </si>
  <si>
    <t>进尺(m)</t>
  </si>
  <si>
    <t>≥10cm段数</t>
  </si>
  <si>
    <t>≥10cm总长(cm)</t>
  </si>
  <si>
    <t>RQD(%)</t>
  </si>
  <si>
    <t>区间起点(m)</t>
  </si>
  <si>
    <t>区间终点(m)</t>
  </si>
  <si>
    <t>岩心总段数n</t>
  </si>
  <si>
    <t>节理数J</t>
  </si>
  <si>
    <t>平均间距S(cm)</t>
  </si>
  <si>
    <t>岩质</t>
  </si>
  <si>
    <t>岩体结构</t>
  </si>
  <si>
    <t>坚硬程度</t>
  </si>
  <si>
    <t>岩心均一性</t>
  </si>
  <si>
    <t>地下水</t>
  </si>
  <si>
    <t>洞轴夹角&lt;30°</t>
  </si>
  <si>
    <t>硬质岩</t>
  </si>
  <si>
    <t>整体状或巨厚层状结构</t>
  </si>
  <si>
    <t>坚硬岩</t>
  </si>
  <si>
    <t>均一无软弱夹层</t>
  </si>
  <si>
    <t>干燥</t>
  </si>
  <si>
    <t>不设置</t>
  </si>
  <si>
    <t/>
  </si>
  <si>
    <t>岩心回次统计导入模板 · 填写说明（v4 一钻孔一文件 · 录入/成果双表）</t>
  </si>
  <si>
    <t>【使用方式】</t>
  </si>
  <si>
    <t>1. 一个钻孔 = 一个 Excel 文件，建议文件名即钻孔编号（如 ZK1.xlsx）；导入软件时再选择目标钻孔。</t>
  </si>
  <si>
    <t>2. 「数据录入」表：一行 = 一个回次，行序 = 深度顺序（自上而下），软件按行序累计深度并生成三维展示。</t>
  </si>
  <si>
    <t>3. 蓝色列手工填写：回次进尺(m)、&lt;10cm碎屑数（无碎屑填0）、逐根量测的 ≥10cm 岩心段长 L1、L2…（按出土顺序从左到右，cm，0.1cm 精度）。回次号选填。</t>
  </si>
  <si>
    <t>4. 「计算成果」表：前 10 列灰底为公式自动生成（与录入表逐行对齐），请勿改动；最后 6 列（岩质/岩体结构/坚硬程度/岩心均一性/地下水/洞轴夹角）为选填下拉。</t>
  </si>
  <si>
    <t>5. 新增回次请直接在「数据录入」末尾追加行（公式已预填到第 200 行）；中间插行后需将「计算成果」公式列下拉填充对齐。</t>
  </si>
  <si>
    <t>6. 每回次最多 30 根 ≥10cm 段（L1–L30），超出请联系开发者扩展。</t>
  </si>
  <si>
    <t>【自动计算口径（与规范 F.0.4 一致）】</t>
  </si>
  <si>
    <t>≥10cm段数 = 本行 L 列已填个数；总长 = ΣL；RQD(%) = 总长÷(进尺×100)×100，保留 2 位小数。</t>
  </si>
  <si>
    <t>岩心总段数 n = 段数 + 碎屑数；节理数 J = n − 1（不足 1 记 0）；平均间距 S = 进尺×100÷n (cm)，保留 2 位小数。</t>
  </si>
  <si>
    <t>区间起点 = 本行以上各回次进尺的累计值（首行=0；中间留空行不会中断深度链；非 0 起深的钻孔在导入软件时设置起始深度）。</t>
  </si>
  <si>
    <t>软件导入时按录入表原始数据重新计算全部指标，成果表公式仅供现场查看。</t>
  </si>
  <si>
    <t>【校验规则（导入预览时提示）】</t>
  </si>
  <si>
    <t>红行（阻断）：进尺缺失或≤0 / 段长&lt;10cm / 段长合计&gt;进尺×100。</t>
  </si>
  <si>
    <t>黄行（警告可跳过）：碎屑数空缺（按0处理）/ 碎屑平均长≥10cm（计数与量测矛盾）/ S&gt;500cm（疑似单位误填）。</t>
  </si>
  <si>
    <t>【F.0.2 六列（选填）】</t>
  </si>
  <si>
    <t>可全部留空（导入后在软件分段表内填写），也可整行填全——填全的回次导入后可一键生成围岩分类。</t>
  </si>
  <si>
    <t>【样板数据】</t>
  </si>
  <si>
    <t>模板不带示例数据行，从第 2 行起直接填写即可。自检口径示例：进尺 2.0 / 碎屑 0 / 段长 40,35,30,25,20,15,12,10 → 段数 8、总长 187、RQD 93.50%、n=8、J=7、S=25.00cm。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</si>
</sst>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>
    <font>
      <sz val="11"/>
      <color theme="1"/>
      <name val="Arial"/>
      <family val="2"/>
      <scheme val="minor"/>
    </font>
    <font>
      <b/>
    </font>
  </fonts>
  <fills count="5">
    <fill>
      <patternFill patternType="none"/>
    </fill>
    <fill>
      <patternFill patternType="gray125"/>
    </fill>
    <fill>
      <patternFill patternType="solid">
        <fgColor rgb="FFD6E4F5"/>
        <bgColor indexed="64"/>
      </patternFill>
    </fill>
    <fill>
      <patternFill patternType="solid">
        <fgColor rgb="FFF0F2F5"/>
        <bgColor indexed="64"/>
      </patternFill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13">
    <xf numFmtId="0" fontId="0" fillId="0" borderId="0"/>
    <xf numFmtId="2" applyNumberFormat="1"/>
    <xf numFmtId="164" applyNumberFormat="1"/>
    <xf fillId="2" applyFill="1"/>
    <xf fontId="1" applyFont="1" fillId="2" applyFill="1"/>
    <xf fontId="1" applyFont="1" fillId="2" applyFill="1" applyAlignment="1">
      <alignment horizontal="center"/>
    </xf>
    <xf fillId="3" applyFill="1"/>
    <xf fontId="1" applyFont="1" fillId="3" applyFill="1"/>
    <xf fontId="1" applyFont="1" fillId="3" applyFill="1" applyAlignment="1">
      <alignment horizontal="center"/>
    </xf>
    <xf fontId="1" applyFont="1"/>
    <xf fontId="1" applyFont="1" fillId="4" applyFill="1" applyAlignment="1">
      <alignment horizontal="center"/>
    </xf>
    <xf fillId="4" applyFill="1"/>
    <xf fontId="1" applyFont="1" fillId="4" applyFill="1"/>
  </cellStyleXfs>
  <cellXfs count="7">
    <xf numFmtId="0" fontId="0" fillId="0" borderId="0" xfId="0"/>
    <xf xfId="0" quotePrefix="0" pivotButton="0" fontId="1" applyFont="1" fillId="4" applyFill="1" applyAlignment="1">
      <alignment horizontal="center"/>
    </xf>
    <xf xfId="0" quotePrefix="0" pivotButton="0" fontId="1" applyFont="1" fillId="2" applyFill="1" applyAlignment="1">
      <alignment horizontal="center"/>
    </xf>
    <xf xfId="0" quotePrefix="0" pivotButton="0" numFmtId="2" applyNumberFormat="1"/>
    <xf xfId="0" quotePrefix="0" pivotButton="0" numFmtId="164" applyNumberFormat="1"/>
    <xf xfId="0" quotePrefix="0" pivotButton="0" fontId="1" applyFont="1" fillId="3" applyFill="1" applyAlignment="1">
      <alignment horizontal="center"/>
    </xf>
    <xf xfId="0" quotePrefix="0" pivotButton="0" fontId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theme" Target="theme/theme1.xml"/>
<Relationship Id="rId5" Type="http://schemas.openxmlformats.org/officeDocument/2006/relationships/sharedStrings" Target="sharedStrings.xml"/>
<Relationship Id="rId6" Type="http://schemas.openxmlformats.org/officeDocument/2006/relationships/styles" Target="styles.xml"/>

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lumMod val="102000"/>
                <a:satMod val="103000"/>
                <a:tint val="94000"/>
              </a:schemeClr>
            </a:gs>
            <a:gs pos="50000">
              <a:schemeClr val="phClr">
                <a:lumMod val="100000"/>
                <a:satMod val="11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satMod val="170000"/>
            <a:tint val="95000"/>
          </a:schemeClr>
        </a:solidFill>
        <a:gradFill rotWithShape="1">
          <a:gsLst>
            <a:gs pos="0">
              <a:schemeClr val="phClr">
                <a:lumMod val="102000"/>
                <a:satMod val="150000"/>
                <a:tint val="93000"/>
                <a:shade val="98000"/>
              </a:schemeClr>
            </a:gs>
            <a:gs pos="50000">
              <a:schemeClr val="phClr">
                <a:lumMod val="103000"/>
                <a:satMod val="130000"/>
                <a:tint val="98000"/>
                <a:shade val="90000"/>
              </a:schemeClr>
            </a:gs>
            <a:gs pos="100000">
              <a:schemeClr val="phClr">
                <a:satMod val="120000"/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x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/>
  <dimension ref="A1:AG1"/>
  <sheetViews>
    <sheetView showGridLines="1" tabSelected="0" workbookViewId="0">
      <pane xSplit="3" ySplit="1" topLeftCell="D2" activePane="bottomRight" state="frozen"/>
      <selection pane="bottomRight" activeCell="A1" sqref="A1"/>
    </sheetView>
  </sheetViews>
  <sheetFormatPr defaultRowHeight="18.00" customHeight="1" defaultColWidth="10.79"/>
  <cols>
    <col min="1" max="1" width="7.6" customWidth="1" hidden="0"/>
    <col min="2" max="2" width="11.65" customWidth="1" hidden="0"/>
    <col min="3" max="3" width="12.27" customWidth="1" hidden="0"/>
    <col min="4" max="33" width="7.11" customWidth="1" hidden="0"/>
  </cols>
  <sheetData>
    <row r="1" ht="18.00" customHeight="true">
      <c r="A1" t="s" s="1">
        <v>0</v>
      </c>
      <c r="B1" t="s" s="2">
        <v>1</v>
      </c>
      <c r="C1" t="s" s="2">
        <v>2</v>
      </c>
      <c r="D1" t="s" s="2">
        <v>3</v>
      </c>
      <c r="E1" t="s" s="2">
        <v>4</v>
      </c>
      <c r="F1" t="s" s="2">
        <v>5</v>
      </c>
      <c r="G1" t="s" s="2">
        <v>6</v>
      </c>
      <c r="H1" t="s" s="2">
        <v>7</v>
      </c>
      <c r="I1" t="s" s="2">
        <v>8</v>
      </c>
      <c r="J1" t="s" s="2">
        <v>9</v>
      </c>
      <c r="K1" t="s" s="2">
        <v>10</v>
      </c>
      <c r="L1" t="s" s="2">
        <v>11</v>
      </c>
      <c r="M1" t="s" s="2">
        <v>12</v>
      </c>
      <c r="N1" t="s" s="2">
        <v>13</v>
      </c>
      <c r="O1" t="s" s="2">
        <v>14</v>
      </c>
      <c r="P1" t="s" s="2">
        <v>15</v>
      </c>
      <c r="Q1" t="s" s="2">
        <v>16</v>
      </c>
      <c r="R1" t="s" s="2">
        <v>17</v>
      </c>
      <c r="S1" t="s" s="2">
        <v>18</v>
      </c>
      <c r="T1" t="s" s="2">
        <v>19</v>
      </c>
      <c r="U1" t="s" s="2">
        <v>20</v>
      </c>
      <c r="V1" t="s" s="2">
        <v>21</v>
      </c>
      <c r="W1" t="s" s="2">
        <v>22</v>
      </c>
      <c r="X1" t="s" s="2">
        <v>23</v>
      </c>
      <c r="Y1" t="s" s="2">
        <v>24</v>
      </c>
      <c r="Z1" t="s" s="2">
        <v>25</v>
      </c>
      <c r="AA1" t="s" s="2">
        <v>26</v>
      </c>
      <c r="AB1" t="s" s="2">
        <v>27</v>
      </c>
      <c r="AC1" t="s" s="2">
        <v>28</v>
      </c>
      <c r="AD1" t="s" s="2">
        <v>29</v>
      </c>
      <c r="AE1" t="s" s="2">
        <v>30</v>
      </c>
      <c r="AF1" t="s" s="2">
        <v>31</v>
      </c>
      <c r="AG1" t="s" s="2">
        <v>32</v>
      </c>
    </row>
  </sheetData>
  <phoneticPr fontId="0" type="noConversion"/>
  <pageMargins left="0.75" right="0.75" top="0.75" bottom="0.75" header="0.25" footer="0.25"/>
  <pageSetup orientation="portrait" paperSize="9" scale="100"/>
  <headerFooter alignWithMargins="1"/>
</worksheet>
</file>

<file path=xl/worksheets/sheet2.xml><?xml version="1.0" encoding="utf-8"?>
<worksheet xmlns="http://schemas.openxmlformats.org/spreadsheetml/2006/main" xmlns:x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/>
  <dimension ref="A1:P200"/>
  <sheetViews>
    <sheetView showGridLines="1" tabSelected="0" workbookViewId="0">
      <pane xSplit="2" ySplit="1" topLeftCell="C2" activePane="bottomRight" state="frozen"/>
      <selection pane="bottomRight" activeCell="A1" sqref="A1"/>
    </sheetView>
  </sheetViews>
  <sheetFormatPr defaultRowHeight="18.00" customHeight="1" defaultColWidth="10.79"/>
  <cols>
    <col min="1" max="1" width="7.6" customWidth="1" hidden="0"/>
    <col min="2" max="2" width="9.57" customWidth="1" hidden="0"/>
    <col min="4" max="4" width="12.88" customWidth="1" hidden="0"/>
    <col min="5" max="5" width="8.83" customWidth="1" hidden="0"/>
    <col min="8" max="8" width="11.28" customWidth="1" hidden="0"/>
    <col min="9" max="9" width="8.34" customWidth="1" hidden="0"/>
    <col min="10" max="10" width="12.88" customWidth="1" hidden="0"/>
    <col min="11" max="11" width="8.59" customWidth="1" hidden="0"/>
    <col min="12" max="12" width="23.3" customWidth="1" hidden="0"/>
    <col min="13" max="13" width="8.59" customWidth="1" hidden="0"/>
    <col min="14" max="14" width="15.94" customWidth="1" hidden="0"/>
    <col min="15" max="15" width="7.6" customWidth="1" hidden="0"/>
    <col min="16" max="16" width="12.88" customWidth="1" hidden="0"/>
  </cols>
  <sheetData>
    <row r="1" ht="18.00" customHeight="true">
      <c r="A1" t="s" s="5">
        <v>0</v>
      </c>
      <c r="B1" t="s" s="5">
        <v>33</v>
      </c>
      <c r="C1" t="s" s="5">
        <v>34</v>
      </c>
      <c r="D1" t="s" s="5">
        <v>35</v>
      </c>
      <c r="E1" t="s" s="5">
        <v>36</v>
      </c>
      <c r="F1" t="s" s="5">
        <v>37</v>
      </c>
      <c r="G1" t="s" s="5">
        <v>38</v>
      </c>
      <c r="H1" t="s" s="5">
        <v>39</v>
      </c>
      <c r="I1" t="s" s="5">
        <v>40</v>
      </c>
      <c r="J1" t="s" s="5">
        <v>41</v>
      </c>
      <c r="K1" t="s" s="1">
        <v>42</v>
      </c>
      <c r="L1" t="s" s="1">
        <v>43</v>
      </c>
      <c r="M1" t="s" s="1">
        <v>44</v>
      </c>
      <c r="N1" t="s" s="1">
        <v>45</v>
      </c>
      <c r="O1" t="s" s="1">
        <v>46</v>
      </c>
      <c r="P1" t="s" s="1">
        <v>47</v>
      </c>
    </row>
    <row r="2" ht="30.00" customHeight="false">
      <c r="A2">
        <f>IF(数据录入!$B2="","",IF(数据录入!$A2=""," ",数据录入!$A2))</f>
      </c>
      <c r="B2">
        <f>IF(数据录入!$B2="","",数据录入!$B2)</f>
      </c>
      <c r="C2">
        <f>IF(数据录入!$B2="","",COUNT(数据录入!$D2:$AG2))</f>
      </c>
      <c r="D2">
        <f>IF(数据录入!$B2="","",SUM(数据录入!$D2:$AG2))</f>
      </c>
      <c r="E2" s="3">
        <f>IF(OR(数据录入!$B2="",数据录入!$B2=0),"",ROUND(D2/(数据录入!$B2*100)*100,2))</f>
      </c>
      <c r="F2">
        <f>IF(数据录入!$B2="","",0)</f>
      </c>
      <c r="G2">
        <f>IF(数据录入!$B2="","",F2+数据录入!$B2)</f>
      </c>
      <c r="H2">
        <f>IF(数据录入!$B2="","",C2+IF(数据录入!$C2="",0,数据录入!$C2))</f>
      </c>
      <c r="I2">
        <f>IF(数据录入!$B2="","",MAX(0,H2-1))</f>
      </c>
      <c r="J2" s="3">
        <f>IF(OR(数据录入!$B2="",H2=0),"",ROUND(数据录入!$B2*100/H2,2))</f>
      </c>
    </row>
    <row r="3" ht="18.00" customHeight="true">
      <c r="A3">
        <f>IF(数据录入!$B3="","",IF(数据录入!$A3=""," ",数据录入!$A3))</f>
      </c>
      <c r="B3">
        <f>IF(数据录入!$B3="","",数据录入!$B3)</f>
      </c>
      <c r="C3">
        <f>IF(数据录入!$B3="","",COUNT(数据录入!$D3:$AG3))</f>
      </c>
      <c r="D3">
        <f>IF(数据录入!$B3="","",SUM(数据录入!$D3:$AG3))</f>
      </c>
      <c r="E3" s="3">
        <f>IF(OR(数据录入!$B3="",数据录入!$B3=0),"",ROUND(D3/(数据录入!$B3*100)*100,2))</f>
      </c>
      <c r="F3">
        <f>IF(数据录入!$B3="","",IF(ROW()=2,0,SUM(数据录入!$B$2:数据录入!$B2)))</f>
      </c>
      <c r="G3">
        <f>IF(数据录入!$B3="","",F3+数据录入!$B3)</f>
      </c>
      <c r="H3">
        <f>IF(数据录入!$B3="","",C3+IF(数据录入!$C3="",0,数据录入!$C3))</f>
      </c>
      <c r="I3">
        <f>IF(数据录入!$B3="","",MAX(0,H3-1))</f>
      </c>
      <c r="J3" s="3">
        <f>IF(OR(数据录入!$B3="",H3=0),"",ROUND(数据录入!$B3*100/H3,2))</f>
      </c>
    </row>
    <row r="4" ht="18.00" customHeight="true">
      <c r="A4">
        <f>IF(数据录入!$B4="","",IF(数据录入!$A4=""," ",数据录入!$A4))</f>
      </c>
      <c r="B4">
        <f>IF(数据录入!$B4="","",数据录入!$B4)</f>
      </c>
      <c r="C4">
        <f>IF(数据录入!$B4="","",COUNT(数据录入!$D4:$AG4))</f>
      </c>
      <c r="D4">
        <f>IF(数据录入!$B4="","",SUM(数据录入!$D4:$AG4))</f>
      </c>
      <c r="E4" s="3">
        <f>IF(OR(数据录入!$B4="",数据录入!$B4=0),"",ROUND(D4/(数据录入!$B4*100)*100,2))</f>
      </c>
      <c r="F4">
        <f>IF(数据录入!$B4="","",IF(ROW()=2,0,SUM(数据录入!$B$2:数据录入!$B3)))</f>
      </c>
      <c r="G4">
        <f>IF(数据录入!$B4="","",F4+数据录入!$B4)</f>
      </c>
      <c r="H4">
        <f>IF(数据录入!$B4="","",C4+IF(数据录入!$C4="",0,数据录入!$C4))</f>
      </c>
      <c r="I4">
        <f>IF(数据录入!$B4="","",MAX(0,H4-1))</f>
      </c>
      <c r="J4" s="3">
        <f>IF(OR(数据录入!$B4="",H4=0),"",ROUND(数据录入!$B4*100/H4,2))</f>
      </c>
    </row>
    <row r="5" ht="18.00" customHeight="true">
      <c r="A5">
        <f>IF(数据录入!$B5="","",IF(数据录入!$A5=""," ",数据录入!$A5))</f>
      </c>
      <c r="B5">
        <f>IF(数据录入!$B5="","",数据录入!$B5)</f>
      </c>
      <c r="C5">
        <f>IF(数据录入!$B5="","",COUNT(数据录入!$D5:$AG5))</f>
      </c>
      <c r="D5">
        <f>IF(数据录入!$B5="","",SUM(数据录入!$D5:$AG5))</f>
      </c>
      <c r="E5" s="3">
        <f>IF(OR(数据录入!$B5="",数据录入!$B5=0),"",ROUND(D5/(数据录入!$B5*100)*100,2))</f>
      </c>
      <c r="F5">
        <f>IF(数据录入!$B5="","",IF(ROW()=2,0,SUM(数据录入!$B$2:数据录入!$B4)))</f>
      </c>
      <c r="G5">
        <f>IF(数据录入!$B5="","",F5+数据录入!$B5)</f>
      </c>
      <c r="H5">
        <f>IF(数据录入!$B5="","",C5+IF(数据录入!$C5="",0,数据录入!$C5))</f>
      </c>
      <c r="I5">
        <f>IF(数据录入!$B5="","",MAX(0,H5-1))</f>
      </c>
      <c r="J5" s="3">
        <f>IF(OR(数据录入!$B5="",H5=0),"",ROUND(数据录入!$B5*100/H5,2))</f>
      </c>
    </row>
    <row r="6" ht="18.00" customHeight="true">
      <c r="A6">
        <f>IF(数据录入!$B6="","",IF(数据录入!$A6=""," ",数据录入!$A6))</f>
      </c>
      <c r="B6">
        <f>IF(数据录入!$B6="","",数据录入!$B6)</f>
      </c>
      <c r="C6">
        <f>IF(数据录入!$B6="","",COUNT(数据录入!$D6:$AG6))</f>
      </c>
      <c r="D6">
        <f>IF(数据录入!$B6="","",SUM(数据录入!$D6:$AG6))</f>
      </c>
      <c r="E6" s="3">
        <f>IF(OR(数据录入!$B6="",数据录入!$B6=0),"",ROUND(D6/(数据录入!$B6*100)*100,2))</f>
      </c>
      <c r="F6">
        <f>IF(数据录入!$B6="","",IF(ROW()=2,0,SUM(数据录入!$B$2:数据录入!$B5)))</f>
      </c>
      <c r="G6">
        <f>IF(数据录入!$B6="","",F6+数据录入!$B6)</f>
      </c>
      <c r="H6">
        <f>IF(数据录入!$B6="","",C6+IF(数据录入!$C6="",0,数据录入!$C6))</f>
      </c>
      <c r="I6">
        <f>IF(数据录入!$B6="","",MAX(0,H6-1))</f>
      </c>
      <c r="J6" s="3">
        <f>IF(OR(数据录入!$B6="",H6=0),"",ROUND(数据录入!$B6*100/H6,2))</f>
      </c>
    </row>
    <row r="7" ht="18.00" customHeight="true">
      <c r="A7">
        <f>IF(数据录入!$B7="","",IF(数据录入!$A7=""," ",数据录入!$A7))</f>
      </c>
      <c r="B7">
        <f>IF(数据录入!$B7="","",数据录入!$B7)</f>
      </c>
      <c r="C7">
        <f>IF(数据录入!$B7="","",COUNT(数据录入!$D7:$AG7))</f>
      </c>
      <c r="D7">
        <f>IF(数据录入!$B7="","",SUM(数据录入!$D7:$AG7))</f>
      </c>
      <c r="E7" s="3">
        <f>IF(OR(数据录入!$B7="",数据录入!$B7=0),"",ROUND(D7/(数据录入!$B7*100)*100,2))</f>
      </c>
      <c r="F7">
        <f>IF(数据录入!$B7="","",IF(ROW()=2,0,SUM(数据录入!$B$2:数据录入!$B6)))</f>
      </c>
      <c r="G7">
        <f>IF(数据录入!$B7="","",F7+数据录入!$B7)</f>
      </c>
      <c r="H7">
        <f>IF(数据录入!$B7="","",C7+IF(数据录入!$C7="",0,数据录入!$C7))</f>
      </c>
      <c r="I7">
        <f>IF(数据录入!$B7="","",MAX(0,H7-1))</f>
      </c>
      <c r="J7" s="3">
        <f>IF(OR(数据录入!$B7="",H7=0),"",ROUND(数据录入!$B7*100/H7,2))</f>
      </c>
    </row>
    <row r="8" ht="18.00" customHeight="true">
      <c r="A8">
        <f>IF(数据录入!$B8="","",IF(数据录入!$A8=""," ",数据录入!$A8))</f>
      </c>
      <c r="B8">
        <f>IF(数据录入!$B8="","",数据录入!$B8)</f>
      </c>
      <c r="C8">
        <f>IF(数据录入!$B8="","",COUNT(数据录入!$D8:$AG8))</f>
      </c>
      <c r="D8">
        <f>IF(数据录入!$B8="","",SUM(数据录入!$D8:$AG8))</f>
      </c>
      <c r="E8" s="3">
        <f>IF(OR(数据录入!$B8="",数据录入!$B8=0),"",ROUND(D8/(数据录入!$B8*100)*100,2))</f>
      </c>
      <c r="F8">
        <f>IF(数据录入!$B8="","",IF(ROW()=2,0,SUM(数据录入!$B$2:数据录入!$B7)))</f>
      </c>
      <c r="G8">
        <f>IF(数据录入!$B8="","",F8+数据录入!$B8)</f>
      </c>
      <c r="H8">
        <f>IF(数据录入!$B8="","",C8+IF(数据录入!$C8="",0,数据录入!$C8))</f>
      </c>
      <c r="I8">
        <f>IF(数据录入!$B8="","",MAX(0,H8-1))</f>
      </c>
      <c r="J8" s="3">
        <f>IF(OR(数据录入!$B8="",H8=0),"",ROUND(数据录入!$B8*100/H8,2))</f>
      </c>
    </row>
    <row r="9" ht="18.00" customHeight="true">
      <c r="A9">
        <f>IF(数据录入!$B9="","",IF(数据录入!$A9=""," ",数据录入!$A9))</f>
      </c>
      <c r="B9">
        <f>IF(数据录入!$B9="","",数据录入!$B9)</f>
      </c>
      <c r="C9">
        <f>IF(数据录入!$B9="","",COUNT(数据录入!$D9:$AG9))</f>
      </c>
      <c r="D9">
        <f>IF(数据录入!$B9="","",SUM(数据录入!$D9:$AG9))</f>
      </c>
      <c r="E9" s="3">
        <f>IF(OR(数据录入!$B9="",数据录入!$B9=0),"",ROUND(D9/(数据录入!$B9*100)*100,2))</f>
      </c>
      <c r="F9">
        <f>IF(数据录入!$B9="","",IF(ROW()=2,0,SUM(数据录入!$B$2:数据录入!$B8)))</f>
      </c>
      <c r="G9">
        <f>IF(数据录入!$B9="","",F9+数据录入!$B9)</f>
      </c>
      <c r="H9">
        <f>IF(数据录入!$B9="","",C9+IF(数据录入!$C9="",0,数据录入!$C9))</f>
      </c>
      <c r="I9">
        <f>IF(数据录入!$B9="","",MAX(0,H9-1))</f>
      </c>
      <c r="J9" s="3">
        <f>IF(OR(数据录入!$B9="",H9=0),"",ROUND(数据录入!$B9*100/H9,2))</f>
      </c>
    </row>
    <row r="10" ht="18.00" customHeight="true">
      <c r="A10">
        <f>IF(数据录入!$B10="","",IF(数据录入!$A10=""," ",数据录入!$A10))</f>
      </c>
      <c r="B10">
        <f>IF(数据录入!$B10="","",数据录入!$B10)</f>
      </c>
      <c r="C10">
        <f>IF(数据录入!$B10="","",COUNT(数据录入!$D10:$AG10))</f>
      </c>
      <c r="D10">
        <f>IF(数据录入!$B10="","",SUM(数据录入!$D10:$AG10))</f>
      </c>
      <c r="E10" s="3">
        <f>IF(OR(数据录入!$B10="",数据录入!$B10=0),"",ROUND(D10/(数据录入!$B10*100)*100,2))</f>
      </c>
      <c r="F10">
        <f>IF(数据录入!$B10="","",IF(ROW()=2,0,SUM(数据录入!$B$2:数据录入!$B9)))</f>
      </c>
      <c r="G10">
        <f>IF(数据录入!$B10="","",F10+数据录入!$B10)</f>
      </c>
      <c r="H10">
        <f>IF(数据录入!$B10="","",C10+IF(数据录入!$C10="",0,数据录入!$C10))</f>
      </c>
      <c r="I10">
        <f>IF(数据录入!$B10="","",MAX(0,H10-1))</f>
      </c>
      <c r="J10" s="3">
        <f>IF(OR(数据录入!$B10="",H10=0),"",ROUND(数据录入!$B10*100/H10,2))</f>
      </c>
    </row>
    <row r="11" ht="18.00" customHeight="true">
      <c r="A11">
        <f>IF(数据录入!$B11="","",IF(数据录入!$A11=""," ",数据录入!$A11))</f>
      </c>
      <c r="B11">
        <f>IF(数据录入!$B11="","",数据录入!$B11)</f>
      </c>
      <c r="C11">
        <f>IF(数据录入!$B11="","",COUNT(数据录入!$D11:$AG11))</f>
      </c>
      <c r="D11">
        <f>IF(数据录入!$B11="","",SUM(数据录入!$D11:$AG11))</f>
      </c>
      <c r="E11" s="3">
        <f>IF(OR(数据录入!$B11="",数据录入!$B11=0),"",ROUND(D11/(数据录入!$B11*100)*100,2))</f>
      </c>
      <c r="F11">
        <f>IF(数据录入!$B11="","",IF(ROW()=2,0,SUM(数据录入!$B$2:数据录入!$B10)))</f>
      </c>
      <c r="G11">
        <f>IF(数据录入!$B11="","",F11+数据录入!$B11)</f>
      </c>
      <c r="H11">
        <f>IF(数据录入!$B11="","",C11+IF(数据录入!$C11="",0,数据录入!$C11))</f>
      </c>
      <c r="I11">
        <f>IF(数据录入!$B11="","",MAX(0,H11-1))</f>
      </c>
      <c r="J11" s="3">
        <f>IF(OR(数据录入!$B11="",H11=0),"",ROUND(数据录入!$B11*100/H11,2))</f>
      </c>
    </row>
    <row r="12" ht="18.00" customHeight="true">
      <c r="A12">
        <f>IF(数据录入!$B12="","",IF(数据录入!$A12=""," ",数据录入!$A12))</f>
      </c>
      <c r="B12">
        <f>IF(数据录入!$B12="","",数据录入!$B12)</f>
      </c>
      <c r="C12">
        <f>IF(数据录入!$B12="","",COUNT(数据录入!$D12:$AG12))</f>
      </c>
      <c r="D12">
        <f>IF(数据录入!$B12="","",SUM(数据录入!$D12:$AG12))</f>
      </c>
      <c r="E12" s="3">
        <f>IF(OR(数据录入!$B12="",数据录入!$B12=0),"",ROUND(D12/(数据录入!$B12*100)*100,2))</f>
      </c>
      <c r="F12">
        <f>IF(数据录入!$B12="","",IF(ROW()=2,0,SUM(数据录入!$B$2:数据录入!$B11)))</f>
      </c>
      <c r="G12">
        <f>IF(数据录入!$B12="","",F12+数据录入!$B12)</f>
      </c>
      <c r="H12">
        <f>IF(数据录入!$B12="","",C12+IF(数据录入!$C12="",0,数据录入!$C12))</f>
      </c>
      <c r="I12">
        <f>IF(数据录入!$B12="","",MAX(0,H12-1))</f>
      </c>
      <c r="J12" s="3">
        <f>IF(OR(数据录入!$B12="",H12=0),"",ROUND(数据录入!$B12*100/H12,2))</f>
      </c>
    </row>
    <row r="13" ht="18.00" customHeight="true">
      <c r="A13">
        <f>IF(数据录入!$B13="","",IF(数据录入!$A13=""," ",数据录入!$A13))</f>
      </c>
      <c r="B13">
        <f>IF(数据录入!$B13="","",数据录入!$B13)</f>
      </c>
      <c r="C13">
        <f>IF(数据录入!$B13="","",COUNT(数据录入!$D13:$AG13))</f>
      </c>
      <c r="D13">
        <f>IF(数据录入!$B13="","",SUM(数据录入!$D13:$AG13))</f>
      </c>
      <c r="E13" s="3">
        <f>IF(OR(数据录入!$B13="",数据录入!$B13=0),"",ROUND(D13/(数据录入!$B13*100)*100,2))</f>
      </c>
      <c r="F13">
        <f>IF(数据录入!$B13="","",IF(ROW()=2,0,SUM(数据录入!$B$2:数据录入!$B12)))</f>
      </c>
      <c r="G13">
        <f>IF(数据录入!$B13="","",F13+数据录入!$B13)</f>
      </c>
      <c r="H13">
        <f>IF(数据录入!$B13="","",C13+IF(数据录入!$C13="",0,数据录入!$C13))</f>
      </c>
      <c r="I13">
        <f>IF(数据录入!$B13="","",MAX(0,H13-1))</f>
      </c>
      <c r="J13" s="3">
        <f>IF(OR(数据录入!$B13="",H13=0),"",ROUND(数据录入!$B13*100/H13,2))</f>
      </c>
    </row>
    <row r="14" ht="18.00" customHeight="true">
      <c r="A14">
        <f>IF(数据录入!$B14="","",IF(数据录入!$A14=""," ",数据录入!$A14))</f>
      </c>
      <c r="B14">
        <f>IF(数据录入!$B14="","",数据录入!$B14)</f>
      </c>
      <c r="C14">
        <f>IF(数据录入!$B14="","",COUNT(数据录入!$D14:$AG14))</f>
      </c>
      <c r="D14">
        <f>IF(数据录入!$B14="","",SUM(数据录入!$D14:$AG14))</f>
      </c>
      <c r="E14" s="3">
        <f>IF(OR(数据录入!$B14="",数据录入!$B14=0),"",ROUND(D14/(数据录入!$B14*100)*100,2))</f>
      </c>
      <c r="F14">
        <f>IF(数据录入!$B14="","",IF(ROW()=2,0,SUM(数据录入!$B$2:数据录入!$B13)))</f>
      </c>
      <c r="G14">
        <f>IF(数据录入!$B14="","",F14+数据录入!$B14)</f>
      </c>
      <c r="H14">
        <f>IF(数据录入!$B14="","",C14+IF(数据录入!$C14="",0,数据录入!$C14))</f>
      </c>
      <c r="I14">
        <f>IF(数据录入!$B14="","",MAX(0,H14-1))</f>
      </c>
      <c r="J14" s="3">
        <f>IF(OR(数据录入!$B14="",H14=0),"",ROUND(数据录入!$B14*100/H14,2))</f>
      </c>
    </row>
    <row r="15" ht="18.00" customHeight="true">
      <c r="A15">
        <f>IF(数据录入!$B15="","",IF(数据录入!$A15=""," ",数据录入!$A15))</f>
      </c>
      <c r="B15">
        <f>IF(数据录入!$B15="","",数据录入!$B15)</f>
      </c>
      <c r="C15">
        <f>IF(数据录入!$B15="","",COUNT(数据录入!$D15:$AG15))</f>
      </c>
      <c r="D15">
        <f>IF(数据录入!$B15="","",SUM(数据录入!$D15:$AG15))</f>
      </c>
      <c r="E15" s="3">
        <f>IF(OR(数据录入!$B15="",数据录入!$B15=0),"",ROUND(D15/(数据录入!$B15*100)*100,2))</f>
      </c>
      <c r="F15">
        <f>IF(数据录入!$B15="","",IF(ROW()=2,0,SUM(数据录入!$B$2:数据录入!$B14)))</f>
      </c>
      <c r="G15">
        <f>IF(数据录入!$B15="","",F15+数据录入!$B15)</f>
      </c>
      <c r="H15">
        <f>IF(数据录入!$B15="","",C15+IF(数据录入!$C15="",0,数据录入!$C15))</f>
      </c>
      <c r="I15">
        <f>IF(数据录入!$B15="","",MAX(0,H15-1))</f>
      </c>
      <c r="J15" s="3">
        <f>IF(OR(数据录入!$B15="",H15=0),"",ROUND(数据录入!$B15*100/H15,2))</f>
      </c>
    </row>
    <row r="16" ht="18.00" customHeight="true">
      <c r="A16">
        <f>IF(数据录入!$B16="","",IF(数据录入!$A16=""," ",数据录入!$A16))</f>
      </c>
      <c r="B16">
        <f>IF(数据录入!$B16="","",数据录入!$B16)</f>
      </c>
      <c r="C16">
        <f>IF(数据录入!$B16="","",COUNT(数据录入!$D16:$AG16))</f>
      </c>
      <c r="D16">
        <f>IF(数据录入!$B16="","",SUM(数据录入!$D16:$AG16))</f>
      </c>
      <c r="E16" s="3">
        <f>IF(OR(数据录入!$B16="",数据录入!$B16=0),"",ROUND(D16/(数据录入!$B16*100)*100,2))</f>
      </c>
      <c r="F16">
        <f>IF(数据录入!$B16="","",IF(ROW()=2,0,SUM(数据录入!$B$2:数据录入!$B15)))</f>
      </c>
      <c r="G16">
        <f>IF(数据录入!$B16="","",F16+数据录入!$B16)</f>
      </c>
      <c r="H16">
        <f>IF(数据录入!$B16="","",C16+IF(数据录入!$C16="",0,数据录入!$C16))</f>
      </c>
      <c r="I16">
        <f>IF(数据录入!$B16="","",MAX(0,H16-1))</f>
      </c>
      <c r="J16" s="3">
        <f>IF(OR(数据录入!$B16="",H16=0),"",ROUND(数据录入!$B16*100/H16,2))</f>
      </c>
    </row>
    <row r="17" ht="18.00" customHeight="true">
      <c r="A17">
        <f>IF(数据录入!$B17="","",IF(数据录入!$A17=""," ",数据录入!$A17))</f>
      </c>
      <c r="B17">
        <f>IF(数据录入!$B17="","",数据录入!$B17)</f>
      </c>
      <c r="C17">
        <f>IF(数据录入!$B17="","",COUNT(数据录入!$D17:$AG17))</f>
      </c>
      <c r="D17">
        <f>IF(数据录入!$B17="","",SUM(数据录入!$D17:$AG17))</f>
      </c>
      <c r="E17" s="3">
        <f>IF(OR(数据录入!$B17="",数据录入!$B17=0),"",ROUND(D17/(数据录入!$B17*100)*100,2))</f>
      </c>
      <c r="F17">
        <f>IF(数据录入!$B17="","",IF(ROW()=2,0,SUM(数据录入!$B$2:数据录入!$B16)))</f>
      </c>
      <c r="G17">
        <f>IF(数据录入!$B17="","",F17+数据录入!$B17)</f>
      </c>
      <c r="H17">
        <f>IF(数据录入!$B17="","",C17+IF(数据录入!$C17="",0,数据录入!$C17))</f>
      </c>
      <c r="I17">
        <f>IF(数据录入!$B17="","",MAX(0,H17-1))</f>
      </c>
      <c r="J17" s="3">
        <f>IF(OR(数据录入!$B17="",H17=0),"",ROUND(数据录入!$B17*100/H17,2))</f>
      </c>
    </row>
    <row r="18" ht="18.00" customHeight="true">
      <c r="A18">
        <f>IF(数据录入!$B18="","",IF(数据录入!$A18=""," ",数据录入!$A18))</f>
      </c>
      <c r="B18">
        <f>IF(数据录入!$B18="","",数据录入!$B18)</f>
      </c>
      <c r="C18">
        <f>IF(数据录入!$B18="","",COUNT(数据录入!$D18:$AG18))</f>
      </c>
      <c r="D18">
        <f>IF(数据录入!$B18="","",SUM(数据录入!$D18:$AG18))</f>
      </c>
      <c r="E18" s="3">
        <f>IF(OR(数据录入!$B18="",数据录入!$B18=0),"",ROUND(D18/(数据录入!$B18*100)*100,2))</f>
      </c>
      <c r="F18">
        <f>IF(数据录入!$B18="","",IF(ROW()=2,0,SUM(数据录入!$B$2:数据录入!$B17)))</f>
      </c>
      <c r="G18">
        <f>IF(数据录入!$B18="","",F18+数据录入!$B18)</f>
      </c>
      <c r="H18">
        <f>IF(数据录入!$B18="","",C18+IF(数据录入!$C18="",0,数据录入!$C18))</f>
      </c>
      <c r="I18">
        <f>IF(数据录入!$B18="","",MAX(0,H18-1))</f>
      </c>
      <c r="J18" s="3">
        <f>IF(OR(数据录入!$B18="",H18=0),"",ROUND(数据录入!$B18*100/H18,2))</f>
      </c>
    </row>
    <row r="19" ht="18.00" customHeight="true">
      <c r="A19">
        <f>IF(数据录入!$B19="","",IF(数据录入!$A19=""," ",数据录入!$A19))</f>
      </c>
      <c r="B19">
        <f>IF(数据录入!$B19="","",数据录入!$B19)</f>
      </c>
      <c r="C19">
        <f>IF(数据录入!$B19="","",COUNT(数据录入!$D19:$AG19))</f>
      </c>
      <c r="D19">
        <f>IF(数据录入!$B19="","",SUM(数据录入!$D19:$AG19))</f>
      </c>
      <c r="E19" s="3">
        <f>IF(OR(数据录入!$B19="",数据录入!$B19=0),"",ROUND(D19/(数据录入!$B19*100)*100,2))</f>
      </c>
      <c r="F19">
        <f>IF(数据录入!$B19="","",IF(ROW()=2,0,SUM(数据录入!$B$2:数据录入!$B18)))</f>
      </c>
      <c r="G19">
        <f>IF(数据录入!$B19="","",F19+数据录入!$B19)</f>
      </c>
      <c r="H19">
        <f>IF(数据录入!$B19="","",C19+IF(数据录入!$C19="",0,数据录入!$C19))</f>
      </c>
      <c r="I19">
        <f>IF(数据录入!$B19="","",MAX(0,H19-1))</f>
      </c>
      <c r="J19" s="3">
        <f>IF(OR(数据录入!$B19="",H19=0),"",ROUND(数据录入!$B19*100/H19,2))</f>
      </c>
    </row>
    <row r="20" ht="18.00" customHeight="true">
      <c r="A20">
        <f>IF(数据录入!$B20="","",IF(数据录入!$A20=""," ",数据录入!$A20))</f>
      </c>
      <c r="B20">
        <f>IF(数据录入!$B20="","",数据录入!$B20)</f>
      </c>
      <c r="C20">
        <f>IF(数据录入!$B20="","",COUNT(数据录入!$D20:$AG20))</f>
      </c>
      <c r="D20">
        <f>IF(数据录入!$B20="","",SUM(数据录入!$D20:$AG20))</f>
      </c>
      <c r="E20" s="3">
        <f>IF(OR(数据录入!$B20="",数据录入!$B20=0),"",ROUND(D20/(数据录入!$B20*100)*100,2))</f>
      </c>
      <c r="F20">
        <f>IF(数据录入!$B20="","",IF(ROW()=2,0,SUM(数据录入!$B$2:数据录入!$B19)))</f>
      </c>
      <c r="G20">
        <f>IF(数据录入!$B20="","",F20+数据录入!$B20)</f>
      </c>
      <c r="H20">
        <f>IF(数据录入!$B20="","",C20+IF(数据录入!$C20="",0,数据录入!$C20))</f>
      </c>
      <c r="I20">
        <f>IF(数据录入!$B20="","",MAX(0,H20-1))</f>
      </c>
      <c r="J20" s="3">
        <f>IF(OR(数据录入!$B20="",H20=0),"",ROUND(数据录入!$B20*100/H20,2))</f>
      </c>
    </row>
    <row r="21" ht="18.00" customHeight="true">
      <c r="A21">
        <f>IF(数据录入!$B21="","",IF(数据录入!$A21=""," ",数据录入!$A21))</f>
      </c>
      <c r="B21">
        <f>IF(数据录入!$B21="","",数据录入!$B21)</f>
      </c>
      <c r="C21">
        <f>IF(数据录入!$B21="","",COUNT(数据录入!$D21:$AG21))</f>
      </c>
      <c r="D21">
        <f>IF(数据录入!$B21="","",SUM(数据录入!$D21:$AG21))</f>
      </c>
      <c r="E21" s="3">
        <f>IF(OR(数据录入!$B21="",数据录入!$B21=0),"",ROUND(D21/(数据录入!$B21*100)*100,2))</f>
      </c>
      <c r="F21">
        <f>IF(数据录入!$B21="","",IF(ROW()=2,0,SUM(数据录入!$B$2:数据录入!$B20)))</f>
      </c>
      <c r="G21">
        <f>IF(数据录入!$B21="","",F21+数据录入!$B21)</f>
      </c>
      <c r="H21">
        <f>IF(数据录入!$B21="","",C21+IF(数据录入!$C21="",0,数据录入!$C21))</f>
      </c>
      <c r="I21">
        <f>IF(数据录入!$B21="","",MAX(0,H21-1))</f>
      </c>
      <c r="J21" s="3">
        <f>IF(OR(数据录入!$B21="",H21=0),"",ROUND(数据录入!$B21*100/H21,2))</f>
      </c>
    </row>
    <row r="22" ht="18.00" customHeight="true">
      <c r="A22">
        <f>IF(数据录入!$B22="","",IF(数据录入!$A22=""," ",数据录入!$A22))</f>
      </c>
      <c r="B22">
        <f>IF(数据录入!$B22="","",数据录入!$B22)</f>
      </c>
      <c r="C22">
        <f>IF(数据录入!$B22="","",COUNT(数据录入!$D22:$AG22))</f>
      </c>
      <c r="D22">
        <f>IF(数据录入!$B22="","",SUM(数据录入!$D22:$AG22))</f>
      </c>
      <c r="E22" s="3">
        <f>IF(OR(数据录入!$B22="",数据录入!$B22=0),"",ROUND(D22/(数据录入!$B22*100)*100,2))</f>
      </c>
      <c r="F22">
        <f>IF(数据录入!$B22="","",IF(ROW()=2,0,SUM(数据录入!$B$2:数据录入!$B21)))</f>
      </c>
      <c r="G22">
        <f>IF(数据录入!$B22="","",F22+数据录入!$B22)</f>
      </c>
      <c r="H22">
        <f>IF(数据录入!$B22="","",C22+IF(数据录入!$C22="",0,数据录入!$C22))</f>
      </c>
      <c r="I22">
        <f>IF(数据录入!$B22="","",MAX(0,H22-1))</f>
      </c>
      <c r="J22" s="3">
        <f>IF(OR(数据录入!$B22="",H22=0),"",ROUND(数据录入!$B22*100/H22,2))</f>
      </c>
    </row>
    <row r="23" ht="18.00" customHeight="true">
      <c r="A23">
        <f>IF(数据录入!$B23="","",IF(数据录入!$A23=""," ",数据录入!$A23))</f>
      </c>
      <c r="B23">
        <f>IF(数据录入!$B23="","",数据录入!$B23)</f>
      </c>
      <c r="C23">
        <f>IF(数据录入!$B23="","",COUNT(数据录入!$D23:$AG23))</f>
      </c>
      <c r="D23">
        <f>IF(数据录入!$B23="","",SUM(数据录入!$D23:$AG23))</f>
      </c>
      <c r="E23" s="3">
        <f>IF(OR(数据录入!$B23="",数据录入!$B23=0),"",ROUND(D23/(数据录入!$B23*100)*100,2))</f>
      </c>
      <c r="F23">
        <f>IF(数据录入!$B23="","",IF(ROW()=2,0,SUM(数据录入!$B$2:数据录入!$B22)))</f>
      </c>
      <c r="G23">
        <f>IF(数据录入!$B23="","",F23+数据录入!$B23)</f>
      </c>
      <c r="H23">
        <f>IF(数据录入!$B23="","",C23+IF(数据录入!$C23="",0,数据录入!$C23))</f>
      </c>
      <c r="I23">
        <f>IF(数据录入!$B23="","",MAX(0,H23-1))</f>
      </c>
      <c r="J23" s="3">
        <f>IF(OR(数据录入!$B23="",H23=0),"",ROUND(数据录入!$B23*100/H23,2))</f>
      </c>
    </row>
    <row r="24" ht="18.00" customHeight="true">
      <c r="A24">
        <f>IF(数据录入!$B24="","",IF(数据录入!$A24=""," ",数据录入!$A24))</f>
      </c>
      <c r="B24">
        <f>IF(数据录入!$B24="","",数据录入!$B24)</f>
      </c>
      <c r="C24">
        <f>IF(数据录入!$B24="","",COUNT(数据录入!$D24:$AG24))</f>
      </c>
      <c r="D24">
        <f>IF(数据录入!$B24="","",SUM(数据录入!$D24:$AG24))</f>
      </c>
      <c r="E24" s="3">
        <f>IF(OR(数据录入!$B24="",数据录入!$B24=0),"",ROUND(D24/(数据录入!$B24*100)*100,2))</f>
      </c>
      <c r="F24">
        <f>IF(数据录入!$B24="","",IF(ROW()=2,0,SUM(数据录入!$B$2:数据录入!$B23)))</f>
      </c>
      <c r="G24">
        <f>IF(数据录入!$B24="","",F24+数据录入!$B24)</f>
      </c>
      <c r="H24">
        <f>IF(数据录入!$B24="","",C24+IF(数据录入!$C24="",0,数据录入!$C24))</f>
      </c>
      <c r="I24">
        <f>IF(数据录入!$B24="","",MAX(0,H24-1))</f>
      </c>
      <c r="J24" s="3">
        <f>IF(OR(数据录入!$B24="",H24=0),"",ROUND(数据录入!$B24*100/H24,2))</f>
      </c>
    </row>
    <row r="25" ht="18.00" customHeight="true">
      <c r="A25">
        <f>IF(数据录入!$B25="","",IF(数据录入!$A25=""," ",数据录入!$A25))</f>
      </c>
      <c r="B25">
        <f>IF(数据录入!$B25="","",数据录入!$B25)</f>
      </c>
      <c r="C25">
        <f>IF(数据录入!$B25="","",COUNT(数据录入!$D25:$AG25))</f>
      </c>
      <c r="D25">
        <f>IF(数据录入!$B25="","",SUM(数据录入!$D25:$AG25))</f>
      </c>
      <c r="E25" s="3">
        <f>IF(OR(数据录入!$B25="",数据录入!$B25=0),"",ROUND(D25/(数据录入!$B25*100)*100,2))</f>
      </c>
      <c r="F25">
        <f>IF(数据录入!$B25="","",IF(ROW()=2,0,SUM(数据录入!$B$2:数据录入!$B24)))</f>
      </c>
      <c r="G25">
        <f>IF(数据录入!$B25="","",F25+数据录入!$B25)</f>
      </c>
      <c r="H25">
        <f>IF(数据录入!$B25="","",C25+IF(数据录入!$C25="",0,数据录入!$C25))</f>
      </c>
      <c r="I25">
        <f>IF(数据录入!$B25="","",MAX(0,H25-1))</f>
      </c>
      <c r="J25" s="3">
        <f>IF(OR(数据录入!$B25="",H25=0),"",ROUND(数据录入!$B25*100/H25,2))</f>
      </c>
    </row>
    <row r="26" ht="18.00" customHeight="true">
      <c r="A26">
        <f>IF(数据录入!$B26="","",IF(数据录入!$A26=""," ",数据录入!$A26))</f>
      </c>
      <c r="B26">
        <f>IF(数据录入!$B26="","",数据录入!$B26)</f>
      </c>
      <c r="C26">
        <f>IF(数据录入!$B26="","",COUNT(数据录入!$D26:$AG26))</f>
      </c>
      <c r="D26">
        <f>IF(数据录入!$B26="","",SUM(数据录入!$D26:$AG26))</f>
      </c>
      <c r="E26" s="3">
        <f>IF(OR(数据录入!$B26="",数据录入!$B26=0),"",ROUND(D26/(数据录入!$B26*100)*100,2))</f>
      </c>
      <c r="F26">
        <f>IF(数据录入!$B26="","",IF(ROW()=2,0,SUM(数据录入!$B$2:数据录入!$B25)))</f>
      </c>
      <c r="G26">
        <f>IF(数据录入!$B26="","",F26+数据录入!$B26)</f>
      </c>
      <c r="H26">
        <f>IF(数据录入!$B26="","",C26+IF(数据录入!$C26="",0,数据录入!$C26))</f>
      </c>
      <c r="I26">
        <f>IF(数据录入!$B26="","",MAX(0,H26-1))</f>
      </c>
      <c r="J26" s="3">
        <f>IF(OR(数据录入!$B26="",H26=0),"",ROUND(数据录入!$B26*100/H26,2))</f>
      </c>
    </row>
    <row r="27" ht="18.00" customHeight="true">
      <c r="A27">
        <f>IF(数据录入!$B27="","",IF(数据录入!$A27=""," ",数据录入!$A27))</f>
      </c>
      <c r="B27">
        <f>IF(数据录入!$B27="","",数据录入!$B27)</f>
      </c>
      <c r="C27">
        <f>IF(数据录入!$B27="","",COUNT(数据录入!$D27:$AG27))</f>
      </c>
      <c r="D27">
        <f>IF(数据录入!$B27="","",SUM(数据录入!$D27:$AG27))</f>
      </c>
      <c r="E27" s="3">
        <f>IF(OR(数据录入!$B27="",数据录入!$B27=0),"",ROUND(D27/(数据录入!$B27*100)*100,2))</f>
      </c>
      <c r="F27">
        <f>IF(数据录入!$B27="","",IF(ROW()=2,0,SUM(数据录入!$B$2:数据录入!$B26)))</f>
      </c>
      <c r="G27">
        <f>IF(数据录入!$B27="","",F27+数据录入!$B27)</f>
      </c>
      <c r="H27">
        <f>IF(数据录入!$B27="","",C27+IF(数据录入!$C27="",0,数据录入!$C27))</f>
      </c>
      <c r="I27">
        <f>IF(数据录入!$B27="","",MAX(0,H27-1))</f>
      </c>
      <c r="J27" s="3">
        <f>IF(OR(数据录入!$B27="",H27=0),"",ROUND(数据录入!$B27*100/H27,2))</f>
      </c>
    </row>
    <row r="28" ht="18.00" customHeight="true">
      <c r="A28">
        <f>IF(数据录入!$B28="","",IF(数据录入!$A28=""," ",数据录入!$A28))</f>
      </c>
      <c r="B28">
        <f>IF(数据录入!$B28="","",数据录入!$B28)</f>
      </c>
      <c r="C28">
        <f>IF(数据录入!$B28="","",COUNT(数据录入!$D28:$AG28))</f>
      </c>
      <c r="D28">
        <f>IF(数据录入!$B28="","",SUM(数据录入!$D28:$AG28))</f>
      </c>
      <c r="E28" s="3">
        <f>IF(OR(数据录入!$B28="",数据录入!$B28=0),"",ROUND(D28/(数据录入!$B28*100)*100,2))</f>
      </c>
      <c r="F28">
        <f>IF(数据录入!$B28="","",IF(ROW()=2,0,SUM(数据录入!$B$2:数据录入!$B27)))</f>
      </c>
      <c r="G28">
        <f>IF(数据录入!$B28="","",F28+数据录入!$B28)</f>
      </c>
      <c r="H28">
        <f>IF(数据录入!$B28="","",C28+IF(数据录入!$C28="",0,数据录入!$C28))</f>
      </c>
      <c r="I28">
        <f>IF(数据录入!$B28="","",MAX(0,H28-1))</f>
      </c>
      <c r="J28" s="3">
        <f>IF(OR(数据录入!$B28="",H28=0),"",ROUND(数据录入!$B28*100/H28,2))</f>
      </c>
    </row>
    <row r="29" ht="18.00" customHeight="true">
      <c r="A29">
        <f>IF(数据录入!$B29="","",IF(数据录入!$A29=""," ",数据录入!$A29))</f>
      </c>
      <c r="B29">
        <f>IF(数据录入!$B29="","",数据录入!$B29)</f>
      </c>
      <c r="C29">
        <f>IF(数据录入!$B29="","",COUNT(数据录入!$D29:$AG29))</f>
      </c>
      <c r="D29">
        <f>IF(数据录入!$B29="","",SUM(数据录入!$D29:$AG29))</f>
      </c>
      <c r="E29" s="3">
        <f>IF(OR(数据录入!$B29="",数据录入!$B29=0),"",ROUND(D29/(数据录入!$B29*100)*100,2))</f>
      </c>
      <c r="F29">
        <f>IF(数据录入!$B29="","",IF(ROW()=2,0,SUM(数据录入!$B$2:数据录入!$B28)))</f>
      </c>
      <c r="G29">
        <f>IF(数据录入!$B29="","",F29+数据录入!$B29)</f>
      </c>
      <c r="H29">
        <f>IF(数据录入!$B29="","",C29+IF(数据录入!$C29="",0,数据录入!$C29))</f>
      </c>
      <c r="I29">
        <f>IF(数据录入!$B29="","",MAX(0,H29-1))</f>
      </c>
      <c r="J29" s="3">
        <f>IF(OR(数据录入!$B29="",H29=0),"",ROUND(数据录入!$B29*100/H29,2))</f>
      </c>
    </row>
    <row r="30" ht="18.00" customHeight="true">
      <c r="A30">
        <f>IF(数据录入!$B30="","",IF(数据录入!$A30=""," ",数据录入!$A30))</f>
      </c>
      <c r="B30">
        <f>IF(数据录入!$B30="","",数据录入!$B30)</f>
      </c>
      <c r="C30">
        <f>IF(数据录入!$B30="","",COUNT(数据录入!$D30:$AG30))</f>
      </c>
      <c r="D30">
        <f>IF(数据录入!$B30="","",SUM(数据录入!$D30:$AG30))</f>
      </c>
      <c r="E30" s="3">
        <f>IF(OR(数据录入!$B30="",数据录入!$B30=0),"",ROUND(D30/(数据录入!$B30*100)*100,2))</f>
      </c>
      <c r="F30">
        <f>IF(数据录入!$B30="","",IF(ROW()=2,0,SUM(数据录入!$B$2:数据录入!$B29)))</f>
      </c>
      <c r="G30">
        <f>IF(数据录入!$B30="","",F30+数据录入!$B30)</f>
      </c>
      <c r="H30">
        <f>IF(数据录入!$B30="","",C30+IF(数据录入!$C30="",0,数据录入!$C30))</f>
      </c>
      <c r="I30">
        <f>IF(数据录入!$B30="","",MAX(0,H30-1))</f>
      </c>
      <c r="J30" s="3">
        <f>IF(OR(数据录入!$B30="",H30=0),"",ROUND(数据录入!$B30*100/H30,2))</f>
      </c>
    </row>
    <row r="31" ht="18.00" customHeight="true">
      <c r="A31">
        <f>IF(数据录入!$B31="","",IF(数据录入!$A31=""," ",数据录入!$A31))</f>
      </c>
      <c r="B31">
        <f>IF(数据录入!$B31="","",数据录入!$B31)</f>
      </c>
      <c r="C31">
        <f>IF(数据录入!$B31="","",COUNT(数据录入!$D31:$AG31))</f>
      </c>
      <c r="D31">
        <f>IF(数据录入!$B31="","",SUM(数据录入!$D31:$AG31))</f>
      </c>
      <c r="E31" s="3">
        <f>IF(OR(数据录入!$B31="",数据录入!$B31=0),"",ROUND(D31/(数据录入!$B31*100)*100,2))</f>
      </c>
      <c r="F31">
        <f>IF(数据录入!$B31="","",IF(ROW()=2,0,SUM(数据录入!$B$2:数据录入!$B30)))</f>
      </c>
      <c r="G31">
        <f>IF(数据录入!$B31="","",F31+数据录入!$B31)</f>
      </c>
      <c r="H31">
        <f>IF(数据录入!$B31="","",C31+IF(数据录入!$C31="",0,数据录入!$C31))</f>
      </c>
      <c r="I31">
        <f>IF(数据录入!$B31="","",MAX(0,H31-1))</f>
      </c>
      <c r="J31" s="3">
        <f>IF(OR(数据录入!$B31="",H31=0),"",ROUND(数据录入!$B31*100/H31,2))</f>
      </c>
    </row>
    <row r="32" ht="18.00" customHeight="true">
      <c r="A32">
        <f>IF(数据录入!$B32="","",IF(数据录入!$A32=""," ",数据录入!$A32))</f>
      </c>
      <c r="B32">
        <f>IF(数据录入!$B32="","",数据录入!$B32)</f>
      </c>
      <c r="C32">
        <f>IF(数据录入!$B32="","",COUNT(数据录入!$D32:$AG32))</f>
      </c>
      <c r="D32">
        <f>IF(数据录入!$B32="","",SUM(数据录入!$D32:$AG32))</f>
      </c>
      <c r="E32" s="3">
        <f>IF(OR(数据录入!$B32="",数据录入!$B32=0),"",ROUND(D32/(数据录入!$B32*100)*100,2))</f>
      </c>
      <c r="F32">
        <f>IF(数据录入!$B32="","",IF(ROW()=2,0,SUM(数据录入!$B$2:数据录入!$B31)))</f>
      </c>
      <c r="G32">
        <f>IF(数据录入!$B32="","",F32+数据录入!$B32)</f>
      </c>
      <c r="H32">
        <f>IF(数据录入!$B32="","",C32+IF(数据录入!$C32="",0,数据录入!$C32))</f>
      </c>
      <c r="I32">
        <f>IF(数据录入!$B32="","",MAX(0,H32-1))</f>
      </c>
      <c r="J32" s="3">
        <f>IF(OR(数据录入!$B32="",H32=0),"",ROUND(数据录入!$B32*100/H32,2))</f>
      </c>
    </row>
    <row r="33" ht="18.00" customHeight="true">
      <c r="A33">
        <f>IF(数据录入!$B33="","",IF(数据录入!$A33=""," ",数据录入!$A33))</f>
      </c>
      <c r="B33">
        <f>IF(数据录入!$B33="","",数据录入!$B33)</f>
      </c>
      <c r="C33">
        <f>IF(数据录入!$B33="","",COUNT(数据录入!$D33:$AG33))</f>
      </c>
      <c r="D33">
        <f>IF(数据录入!$B33="","",SUM(数据录入!$D33:$AG33))</f>
      </c>
      <c r="E33" s="3">
        <f>IF(OR(数据录入!$B33="",数据录入!$B33=0),"",ROUND(D33/(数据录入!$B33*100)*100,2))</f>
      </c>
      <c r="F33">
        <f>IF(数据录入!$B33="","",IF(ROW()=2,0,SUM(数据录入!$B$2:数据录入!$B32)))</f>
      </c>
      <c r="G33">
        <f>IF(数据录入!$B33="","",F33+数据录入!$B33)</f>
      </c>
      <c r="H33">
        <f>IF(数据录入!$B33="","",C33+IF(数据录入!$C33="",0,数据录入!$C33))</f>
      </c>
      <c r="I33">
        <f>IF(数据录入!$B33="","",MAX(0,H33-1))</f>
      </c>
      <c r="J33" s="3">
        <f>IF(OR(数据录入!$B33="",H33=0),"",ROUND(数据录入!$B33*100/H33,2))</f>
      </c>
    </row>
    <row r="34" ht="18.00" customHeight="true">
      <c r="A34">
        <f>IF(数据录入!$B34="","",IF(数据录入!$A34=""," ",数据录入!$A34))</f>
      </c>
      <c r="B34">
        <f>IF(数据录入!$B34="","",数据录入!$B34)</f>
      </c>
      <c r="C34">
        <f>IF(数据录入!$B34="","",COUNT(数据录入!$D34:$AG34))</f>
      </c>
      <c r="D34">
        <f>IF(数据录入!$B34="","",SUM(数据录入!$D34:$AG34))</f>
      </c>
      <c r="E34" s="3">
        <f>IF(OR(数据录入!$B34="",数据录入!$B34=0),"",ROUND(D34/(数据录入!$B34*100)*100,2))</f>
      </c>
      <c r="F34">
        <f>IF(数据录入!$B34="","",IF(ROW()=2,0,SUM(数据录入!$B$2:数据录入!$B33)))</f>
      </c>
      <c r="G34">
        <f>IF(数据录入!$B34="","",F34+数据录入!$B34)</f>
      </c>
      <c r="H34">
        <f>IF(数据录入!$B34="","",C34+IF(数据录入!$C34="",0,数据录入!$C34))</f>
      </c>
      <c r="I34">
        <f>IF(数据录入!$B34="","",MAX(0,H34-1))</f>
      </c>
      <c r="J34" s="3">
        <f>IF(OR(数据录入!$B34="",H34=0),"",ROUND(数据录入!$B34*100/H34,2))</f>
      </c>
    </row>
    <row r="35" ht="18.00" customHeight="true">
      <c r="A35">
        <f>IF(数据录入!$B35="","",IF(数据录入!$A35=""," ",数据录入!$A35))</f>
      </c>
      <c r="B35">
        <f>IF(数据录入!$B35="","",数据录入!$B35)</f>
      </c>
      <c r="C35">
        <f>IF(数据录入!$B35="","",COUNT(数据录入!$D35:$AG35))</f>
      </c>
      <c r="D35">
        <f>IF(数据录入!$B35="","",SUM(数据录入!$D35:$AG35))</f>
      </c>
      <c r="E35" s="3">
        <f>IF(OR(数据录入!$B35="",数据录入!$B35=0),"",ROUND(D35/(数据录入!$B35*100)*100,2))</f>
      </c>
      <c r="F35">
        <f>IF(数据录入!$B35="","",IF(ROW()=2,0,SUM(数据录入!$B$2:数据录入!$B34)))</f>
      </c>
      <c r="G35">
        <f>IF(数据录入!$B35="","",F35+数据录入!$B35)</f>
      </c>
      <c r="H35">
        <f>IF(数据录入!$B35="","",C35+IF(数据录入!$C35="",0,数据录入!$C35))</f>
      </c>
      <c r="I35">
        <f>IF(数据录入!$B35="","",MAX(0,H35-1))</f>
      </c>
      <c r="J35" s="3">
        <f>IF(OR(数据录入!$B35="",H35=0),"",ROUND(数据录入!$B35*100/H35,2))</f>
      </c>
    </row>
    <row r="36" ht="18.00" customHeight="true">
      <c r="A36">
        <f>IF(数据录入!$B36="","",IF(数据录入!$A36=""," ",数据录入!$A36))</f>
      </c>
      <c r="B36">
        <f>IF(数据录入!$B36="","",数据录入!$B36)</f>
      </c>
      <c r="C36">
        <f>IF(数据录入!$B36="","",COUNT(数据录入!$D36:$AG36))</f>
      </c>
      <c r="D36">
        <f>IF(数据录入!$B36="","",SUM(数据录入!$D36:$AG36))</f>
      </c>
      <c r="E36" s="3">
        <f>IF(OR(数据录入!$B36="",数据录入!$B36=0),"",ROUND(D36/(数据录入!$B36*100)*100,2))</f>
      </c>
      <c r="F36">
        <f>IF(数据录入!$B36="","",IF(ROW()=2,0,SUM(数据录入!$B$2:数据录入!$B35)))</f>
      </c>
      <c r="G36">
        <f>IF(数据录入!$B36="","",F36+数据录入!$B36)</f>
      </c>
      <c r="H36">
        <f>IF(数据录入!$B36="","",C36+IF(数据录入!$C36="",0,数据录入!$C36))</f>
      </c>
      <c r="I36">
        <f>IF(数据录入!$B36="","",MAX(0,H36-1))</f>
      </c>
      <c r="J36" s="3">
        <f>IF(OR(数据录入!$B36="",H36=0),"",ROUND(数据录入!$B36*100/H36,2))</f>
      </c>
    </row>
    <row r="37" ht="18.00" customHeight="true">
      <c r="A37">
        <f>IF(数据录入!$B37="","",IF(数据录入!$A37=""," ",数据录入!$A37))</f>
      </c>
      <c r="B37">
        <f>IF(数据录入!$B37="","",数据录入!$B37)</f>
      </c>
      <c r="C37">
        <f>IF(数据录入!$B37="","",COUNT(数据录入!$D37:$AG37))</f>
      </c>
      <c r="D37">
        <f>IF(数据录入!$B37="","",SUM(数据录入!$D37:$AG37))</f>
      </c>
      <c r="E37" s="3">
        <f>IF(OR(数据录入!$B37="",数据录入!$B37=0),"",ROUND(D37/(数据录入!$B37*100)*100,2))</f>
      </c>
      <c r="F37">
        <f>IF(数据录入!$B37="","",IF(ROW()=2,0,SUM(数据录入!$B$2:数据录入!$B36)))</f>
      </c>
      <c r="G37">
        <f>IF(数据录入!$B37="","",F37+数据录入!$B37)</f>
      </c>
      <c r="H37">
        <f>IF(数据录入!$B37="","",C37+IF(数据录入!$C37="",0,数据录入!$C37))</f>
      </c>
      <c r="I37">
        <f>IF(数据录入!$B37="","",MAX(0,H37-1))</f>
      </c>
      <c r="J37" s="3">
        <f>IF(OR(数据录入!$B37="",H37=0),"",ROUND(数据录入!$B37*100/H37,2))</f>
      </c>
    </row>
    <row r="38" ht="18.00" customHeight="true">
      <c r="A38">
        <f>IF(数据录入!$B38="","",IF(数据录入!$A38=""," ",数据录入!$A38))</f>
      </c>
      <c r="B38">
        <f>IF(数据录入!$B38="","",数据录入!$B38)</f>
      </c>
      <c r="C38">
        <f>IF(数据录入!$B38="","",COUNT(数据录入!$D38:$AG38))</f>
      </c>
      <c r="D38">
        <f>IF(数据录入!$B38="","",SUM(数据录入!$D38:$AG38))</f>
      </c>
      <c r="E38" s="3">
        <f>IF(OR(数据录入!$B38="",数据录入!$B38=0),"",ROUND(D38/(数据录入!$B38*100)*100,2))</f>
      </c>
      <c r="F38">
        <f>IF(数据录入!$B38="","",IF(ROW()=2,0,SUM(数据录入!$B$2:数据录入!$B37)))</f>
      </c>
      <c r="G38">
        <f>IF(数据录入!$B38="","",F38+数据录入!$B38)</f>
      </c>
      <c r="H38">
        <f>IF(数据录入!$B38="","",C38+IF(数据录入!$C38="",0,数据录入!$C38))</f>
      </c>
      <c r="I38">
        <f>IF(数据录入!$B38="","",MAX(0,H38-1))</f>
      </c>
      <c r="J38" s="3">
        <f>IF(OR(数据录入!$B38="",H38=0),"",ROUND(数据录入!$B38*100/H38,2))</f>
      </c>
    </row>
    <row r="39" ht="18.00" customHeight="true">
      <c r="A39">
        <f>IF(数据录入!$B39="","",IF(数据录入!$A39=""," ",数据录入!$A39))</f>
      </c>
      <c r="B39">
        <f>IF(数据录入!$B39="","",数据录入!$B39)</f>
      </c>
      <c r="C39">
        <f>IF(数据录入!$B39="","",COUNT(数据录入!$D39:$AG39))</f>
      </c>
      <c r="D39">
        <f>IF(数据录入!$B39="","",SUM(数据录入!$D39:$AG39))</f>
      </c>
      <c r="E39" s="3">
        <f>IF(OR(数据录入!$B39="",数据录入!$B39=0),"",ROUND(D39/(数据录入!$B39*100)*100,2))</f>
      </c>
      <c r="F39">
        <f>IF(数据录入!$B39="","",IF(ROW()=2,0,SUM(数据录入!$B$2:数据录入!$B38)))</f>
      </c>
      <c r="G39">
        <f>IF(数据录入!$B39="","",F39+数据录入!$B39)</f>
      </c>
      <c r="H39">
        <f>IF(数据录入!$B39="","",C39+IF(数据录入!$C39="",0,数据录入!$C39))</f>
      </c>
      <c r="I39">
        <f>IF(数据录入!$B39="","",MAX(0,H39-1))</f>
      </c>
      <c r="J39" s="3">
        <f>IF(OR(数据录入!$B39="",H39=0),"",ROUND(数据录入!$B39*100/H39,2))</f>
      </c>
    </row>
    <row r="40" ht="18.00" customHeight="true">
      <c r="A40">
        <f>IF(数据录入!$B40="","",IF(数据录入!$A40=""," ",数据录入!$A40))</f>
      </c>
      <c r="B40">
        <f>IF(数据录入!$B40="","",数据录入!$B40)</f>
      </c>
      <c r="C40">
        <f>IF(数据录入!$B40="","",COUNT(数据录入!$D40:$AG40))</f>
      </c>
      <c r="D40">
        <f>IF(数据录入!$B40="","",SUM(数据录入!$D40:$AG40))</f>
      </c>
      <c r="E40" s="3">
        <f>IF(OR(数据录入!$B40="",数据录入!$B40=0),"",ROUND(D40/(数据录入!$B40*100)*100,2))</f>
      </c>
      <c r="F40">
        <f>IF(数据录入!$B40="","",IF(ROW()=2,0,SUM(数据录入!$B$2:数据录入!$B39)))</f>
      </c>
      <c r="G40">
        <f>IF(数据录入!$B40="","",F40+数据录入!$B40)</f>
      </c>
      <c r="H40">
        <f>IF(数据录入!$B40="","",C40+IF(数据录入!$C40="",0,数据录入!$C40))</f>
      </c>
      <c r="I40">
        <f>IF(数据录入!$B40="","",MAX(0,H40-1))</f>
      </c>
      <c r="J40" s="3">
        <f>IF(OR(数据录入!$B40="",H40=0),"",ROUND(数据录入!$B40*100/H40,2))</f>
      </c>
    </row>
    <row r="41" ht="18.00" customHeight="true">
      <c r="A41">
        <f>IF(数据录入!$B41="","",IF(数据录入!$A41=""," ",数据录入!$A41))</f>
      </c>
      <c r="B41">
        <f>IF(数据录入!$B41="","",数据录入!$B41)</f>
      </c>
      <c r="C41">
        <f>IF(数据录入!$B41="","",COUNT(数据录入!$D41:$AG41))</f>
      </c>
      <c r="D41">
        <f>IF(数据录入!$B41="","",SUM(数据录入!$D41:$AG41))</f>
      </c>
      <c r="E41" s="3">
        <f>IF(OR(数据录入!$B41="",数据录入!$B41=0),"",ROUND(D41/(数据录入!$B41*100)*100,2))</f>
      </c>
      <c r="F41">
        <f>IF(数据录入!$B41="","",IF(ROW()=2,0,SUM(数据录入!$B$2:数据录入!$B40)))</f>
      </c>
      <c r="G41">
        <f>IF(数据录入!$B41="","",F41+数据录入!$B41)</f>
      </c>
      <c r="H41">
        <f>IF(数据录入!$B41="","",C41+IF(数据录入!$C41="",0,数据录入!$C41))</f>
      </c>
      <c r="I41">
        <f>IF(数据录入!$B41="","",MAX(0,H41-1))</f>
      </c>
      <c r="J41" s="3">
        <f>IF(OR(数据录入!$B41="",H41=0),"",ROUND(数据录入!$B41*100/H41,2))</f>
      </c>
    </row>
    <row r="42" ht="18.00" customHeight="true">
      <c r="A42">
        <f>IF(数据录入!$B42="","",IF(数据录入!$A42=""," ",数据录入!$A42))</f>
      </c>
      <c r="B42">
        <f>IF(数据录入!$B42="","",数据录入!$B42)</f>
      </c>
      <c r="C42">
        <f>IF(数据录入!$B42="","",COUNT(数据录入!$D42:$AG42))</f>
      </c>
      <c r="D42">
        <f>IF(数据录入!$B42="","",SUM(数据录入!$D42:$AG42))</f>
      </c>
      <c r="E42" s="3">
        <f>IF(OR(数据录入!$B42="",数据录入!$B42=0),"",ROUND(D42/(数据录入!$B42*100)*100,2))</f>
      </c>
      <c r="F42">
        <f>IF(数据录入!$B42="","",IF(ROW()=2,0,SUM(数据录入!$B$2:数据录入!$B41)))</f>
      </c>
      <c r="G42">
        <f>IF(数据录入!$B42="","",F42+数据录入!$B42)</f>
      </c>
      <c r="H42">
        <f>IF(数据录入!$B42="","",C42+IF(数据录入!$C42="",0,数据录入!$C42))</f>
      </c>
      <c r="I42">
        <f>IF(数据录入!$B42="","",MAX(0,H42-1))</f>
      </c>
      <c r="J42" s="3">
        <f>IF(OR(数据录入!$B42="",H42=0),"",ROUND(数据录入!$B42*100/H42,2))</f>
      </c>
    </row>
    <row r="43" ht="18.00" customHeight="true">
      <c r="A43">
        <f>IF(数据录入!$B43="","",IF(数据录入!$A43=""," ",数据录入!$A43))</f>
      </c>
      <c r="B43">
        <f>IF(数据录入!$B43="","",数据录入!$B43)</f>
      </c>
      <c r="C43">
        <f>IF(数据录入!$B43="","",COUNT(数据录入!$D43:$AG43))</f>
      </c>
      <c r="D43">
        <f>IF(数据录入!$B43="","",SUM(数据录入!$D43:$AG43))</f>
      </c>
      <c r="E43" s="3">
        <f>IF(OR(数据录入!$B43="",数据录入!$B43=0),"",ROUND(D43/(数据录入!$B43*100)*100,2))</f>
      </c>
      <c r="F43">
        <f>IF(数据录入!$B43="","",IF(ROW()=2,0,SUM(数据录入!$B$2:数据录入!$B42)))</f>
      </c>
      <c r="G43">
        <f>IF(数据录入!$B43="","",F43+数据录入!$B43)</f>
      </c>
      <c r="H43">
        <f>IF(数据录入!$B43="","",C43+IF(数据录入!$C43="",0,数据录入!$C43))</f>
      </c>
      <c r="I43">
        <f>IF(数据录入!$B43="","",MAX(0,H43-1))</f>
      </c>
      <c r="J43" s="3">
        <f>IF(OR(数据录入!$B43="",H43=0),"",ROUND(数据录入!$B43*100/H43,2))</f>
      </c>
    </row>
    <row r="44" ht="18.00" customHeight="true">
      <c r="A44">
        <f>IF(数据录入!$B44="","",IF(数据录入!$A44=""," ",数据录入!$A44))</f>
      </c>
      <c r="B44">
        <f>IF(数据录入!$B44="","",数据录入!$B44)</f>
      </c>
      <c r="C44">
        <f>IF(数据录入!$B44="","",COUNT(数据录入!$D44:$AG44))</f>
      </c>
      <c r="D44">
        <f>IF(数据录入!$B44="","",SUM(数据录入!$D44:$AG44))</f>
      </c>
      <c r="E44" s="3">
        <f>IF(OR(数据录入!$B44="",数据录入!$B44=0),"",ROUND(D44/(数据录入!$B44*100)*100,2))</f>
      </c>
      <c r="F44">
        <f>IF(数据录入!$B44="","",IF(ROW()=2,0,SUM(数据录入!$B$2:数据录入!$B43)))</f>
      </c>
      <c r="G44">
        <f>IF(数据录入!$B44="","",F44+数据录入!$B44)</f>
      </c>
      <c r="H44">
        <f>IF(数据录入!$B44="","",C44+IF(数据录入!$C44="",0,数据录入!$C44))</f>
      </c>
      <c r="I44">
        <f>IF(数据录入!$B44="","",MAX(0,H44-1))</f>
      </c>
      <c r="J44" s="3">
        <f>IF(OR(数据录入!$B44="",H44=0),"",ROUND(数据录入!$B44*100/H44,2))</f>
      </c>
    </row>
    <row r="45" ht="18.00" customHeight="true">
      <c r="A45">
        <f>IF(数据录入!$B45="","",IF(数据录入!$A45=""," ",数据录入!$A45))</f>
      </c>
      <c r="B45">
        <f>IF(数据录入!$B45="","",数据录入!$B45)</f>
      </c>
      <c r="C45">
        <f>IF(数据录入!$B45="","",COUNT(数据录入!$D45:$AG45))</f>
      </c>
      <c r="D45">
        <f>IF(数据录入!$B45="","",SUM(数据录入!$D45:$AG45))</f>
      </c>
      <c r="E45" s="3">
        <f>IF(OR(数据录入!$B45="",数据录入!$B45=0),"",ROUND(D45/(数据录入!$B45*100)*100,2))</f>
      </c>
      <c r="F45">
        <f>IF(数据录入!$B45="","",IF(ROW()=2,0,SUM(数据录入!$B$2:数据录入!$B44)))</f>
      </c>
      <c r="G45">
        <f>IF(数据录入!$B45="","",F45+数据录入!$B45)</f>
      </c>
      <c r="H45">
        <f>IF(数据录入!$B45="","",C45+IF(数据录入!$C45="",0,数据录入!$C45))</f>
      </c>
      <c r="I45">
        <f>IF(数据录入!$B45="","",MAX(0,H45-1))</f>
      </c>
      <c r="J45" s="3">
        <f>IF(OR(数据录入!$B45="",H45=0),"",ROUND(数据录入!$B45*100/H45,2))</f>
      </c>
    </row>
    <row r="46" ht="18.00" customHeight="true">
      <c r="A46">
        <f>IF(数据录入!$B46="","",IF(数据录入!$A46=""," ",数据录入!$A46))</f>
      </c>
      <c r="B46">
        <f>IF(数据录入!$B46="","",数据录入!$B46)</f>
      </c>
      <c r="C46">
        <f>IF(数据录入!$B46="","",COUNT(数据录入!$D46:$AG46))</f>
      </c>
      <c r="D46">
        <f>IF(数据录入!$B46="","",SUM(数据录入!$D46:$AG46))</f>
      </c>
      <c r="E46" s="3">
        <f>IF(OR(数据录入!$B46="",数据录入!$B46=0),"",ROUND(D46/(数据录入!$B46*100)*100,2))</f>
      </c>
      <c r="F46">
        <f>IF(数据录入!$B46="","",IF(ROW()=2,0,SUM(数据录入!$B$2:数据录入!$B45)))</f>
      </c>
      <c r="G46">
        <f>IF(数据录入!$B46="","",F46+数据录入!$B46)</f>
      </c>
      <c r="H46">
        <f>IF(数据录入!$B46="","",C46+IF(数据录入!$C46="",0,数据录入!$C46))</f>
      </c>
      <c r="I46">
        <f>IF(数据录入!$B46="","",MAX(0,H46-1))</f>
      </c>
      <c r="J46" s="3">
        <f>IF(OR(数据录入!$B46="",H46=0),"",ROUND(数据录入!$B46*100/H46,2))</f>
      </c>
    </row>
    <row r="47" ht="18.00" customHeight="true">
      <c r="A47">
        <f>IF(数据录入!$B47="","",IF(数据录入!$A47=""," ",数据录入!$A47))</f>
      </c>
      <c r="B47">
        <f>IF(数据录入!$B47="","",数据录入!$B47)</f>
      </c>
      <c r="C47">
        <f>IF(数据录入!$B47="","",COUNT(数据录入!$D47:$AG47))</f>
      </c>
      <c r="D47">
        <f>IF(数据录入!$B47="","",SUM(数据录入!$D47:$AG47))</f>
      </c>
      <c r="E47" s="3">
        <f>IF(OR(数据录入!$B47="",数据录入!$B47=0),"",ROUND(D47/(数据录入!$B47*100)*100,2))</f>
      </c>
      <c r="F47">
        <f>IF(数据录入!$B47="","",IF(ROW()=2,0,SUM(数据录入!$B$2:数据录入!$B46)))</f>
      </c>
      <c r="G47">
        <f>IF(数据录入!$B47="","",F47+数据录入!$B47)</f>
      </c>
      <c r="H47">
        <f>IF(数据录入!$B47="","",C47+IF(数据录入!$C47="",0,数据录入!$C47))</f>
      </c>
      <c r="I47">
        <f>IF(数据录入!$B47="","",MAX(0,H47-1))</f>
      </c>
      <c r="J47" s="3">
        <f>IF(OR(数据录入!$B47="",H47=0),"",ROUND(数据录入!$B47*100/H47,2))</f>
      </c>
    </row>
    <row r="48" ht="18.00" customHeight="true">
      <c r="A48">
        <f>IF(数据录入!$B48="","",IF(数据录入!$A48=""," ",数据录入!$A48))</f>
      </c>
      <c r="B48">
        <f>IF(数据录入!$B48="","",数据录入!$B48)</f>
      </c>
      <c r="C48">
        <f>IF(数据录入!$B48="","",COUNT(数据录入!$D48:$AG48))</f>
      </c>
      <c r="D48">
        <f>IF(数据录入!$B48="","",SUM(数据录入!$D48:$AG48))</f>
      </c>
      <c r="E48" s="3">
        <f>IF(OR(数据录入!$B48="",数据录入!$B48=0),"",ROUND(D48/(数据录入!$B48*100)*100,2))</f>
      </c>
      <c r="F48">
        <f>IF(数据录入!$B48="","",IF(ROW()=2,0,SUM(数据录入!$B$2:数据录入!$B47)))</f>
      </c>
      <c r="G48">
        <f>IF(数据录入!$B48="","",F48+数据录入!$B48)</f>
      </c>
      <c r="H48">
        <f>IF(数据录入!$B48="","",C48+IF(数据录入!$C48="",0,数据录入!$C48))</f>
      </c>
      <c r="I48">
        <f>IF(数据录入!$B48="","",MAX(0,H48-1))</f>
      </c>
      <c r="J48" s="3">
        <f>IF(OR(数据录入!$B48="",H48=0),"",ROUND(数据录入!$B48*100/H48,2))</f>
      </c>
    </row>
    <row r="49" ht="18.00" customHeight="true">
      <c r="A49">
        <f>IF(数据录入!$B49="","",IF(数据录入!$A49=""," ",数据录入!$A49))</f>
      </c>
      <c r="B49">
        <f>IF(数据录入!$B49="","",数据录入!$B49)</f>
      </c>
      <c r="C49">
        <f>IF(数据录入!$B49="","",COUNT(数据录入!$D49:$AG49))</f>
      </c>
      <c r="D49">
        <f>IF(数据录入!$B49="","",SUM(数据录入!$D49:$AG49))</f>
      </c>
      <c r="E49" s="3">
        <f>IF(OR(数据录入!$B49="",数据录入!$B49=0),"",ROUND(D49/(数据录入!$B49*100)*100,2))</f>
      </c>
      <c r="F49">
        <f>IF(数据录入!$B49="","",IF(ROW()=2,0,SUM(数据录入!$B$2:数据录入!$B48)))</f>
      </c>
      <c r="G49">
        <f>IF(数据录入!$B49="","",F49+数据录入!$B49)</f>
      </c>
      <c r="H49">
        <f>IF(数据录入!$B49="","",C49+IF(数据录入!$C49="",0,数据录入!$C49))</f>
      </c>
      <c r="I49">
        <f>IF(数据录入!$B49="","",MAX(0,H49-1))</f>
      </c>
      <c r="J49" s="3">
        <f>IF(OR(数据录入!$B49="",H49=0),"",ROUND(数据录入!$B49*100/H49,2))</f>
      </c>
    </row>
    <row r="50" ht="18.00" customHeight="true">
      <c r="A50">
        <f>IF(数据录入!$B50="","",IF(数据录入!$A50=""," ",数据录入!$A50))</f>
      </c>
      <c r="B50">
        <f>IF(数据录入!$B50="","",数据录入!$B50)</f>
      </c>
      <c r="C50">
        <f>IF(数据录入!$B50="","",COUNT(数据录入!$D50:$AG50))</f>
      </c>
      <c r="D50">
        <f>IF(数据录入!$B50="","",SUM(数据录入!$D50:$AG50))</f>
      </c>
      <c r="E50" s="3">
        <f>IF(OR(数据录入!$B50="",数据录入!$B50=0),"",ROUND(D50/(数据录入!$B50*100)*100,2))</f>
      </c>
      <c r="F50">
        <f>IF(数据录入!$B50="","",IF(ROW()=2,0,SUM(数据录入!$B$2:数据录入!$B49)))</f>
      </c>
      <c r="G50">
        <f>IF(数据录入!$B50="","",F50+数据录入!$B50)</f>
      </c>
      <c r="H50">
        <f>IF(数据录入!$B50="","",C50+IF(数据录入!$C50="",0,数据录入!$C50))</f>
      </c>
      <c r="I50">
        <f>IF(数据录入!$B50="","",MAX(0,H50-1))</f>
      </c>
      <c r="J50" s="3">
        <f>IF(OR(数据录入!$B50="",H50=0),"",ROUND(数据录入!$B50*100/H50,2))</f>
      </c>
    </row>
    <row r="51" ht="18.00" customHeight="true">
      <c r="A51">
        <f>IF(数据录入!$B51="","",IF(数据录入!$A51=""," ",数据录入!$A51))</f>
      </c>
      <c r="B51">
        <f>IF(数据录入!$B51="","",数据录入!$B51)</f>
      </c>
      <c r="C51">
        <f>IF(数据录入!$B51="","",COUNT(数据录入!$D51:$AG51))</f>
      </c>
      <c r="D51">
        <f>IF(数据录入!$B51="","",SUM(数据录入!$D51:$AG51))</f>
      </c>
      <c r="E51" s="3">
        <f>IF(OR(数据录入!$B51="",数据录入!$B51=0),"",ROUND(D51/(数据录入!$B51*100)*100,2))</f>
      </c>
      <c r="F51">
        <f>IF(数据录入!$B51="","",IF(ROW()=2,0,SUM(数据录入!$B$2:数据录入!$B50)))</f>
      </c>
      <c r="G51">
        <f>IF(数据录入!$B51="","",F51+数据录入!$B51)</f>
      </c>
      <c r="H51">
        <f>IF(数据录入!$B51="","",C51+IF(数据录入!$C51="",0,数据录入!$C51))</f>
      </c>
      <c r="I51">
        <f>IF(数据录入!$B51="","",MAX(0,H51-1))</f>
      </c>
      <c r="J51" s="3">
        <f>IF(OR(数据录入!$B51="",H51=0),"",ROUND(数据录入!$B51*100/H51,2))</f>
      </c>
    </row>
    <row r="52" ht="18.00" customHeight="true">
      <c r="A52">
        <f>IF(数据录入!$B52="","",IF(数据录入!$A52=""," ",数据录入!$A52))</f>
      </c>
      <c r="B52">
        <f>IF(数据录入!$B52="","",数据录入!$B52)</f>
      </c>
      <c r="C52">
        <f>IF(数据录入!$B52="","",COUNT(数据录入!$D52:$AG52))</f>
      </c>
      <c r="D52">
        <f>IF(数据录入!$B52="","",SUM(数据录入!$D52:$AG52))</f>
      </c>
      <c r="E52" s="3">
        <f>IF(OR(数据录入!$B52="",数据录入!$B52=0),"",ROUND(D52/(数据录入!$B52*100)*100,2))</f>
      </c>
      <c r="F52">
        <f>IF(数据录入!$B52="","",IF(ROW()=2,0,SUM(数据录入!$B$2:数据录入!$B51)))</f>
      </c>
      <c r="G52">
        <f>IF(数据录入!$B52="","",F52+数据录入!$B52)</f>
      </c>
      <c r="H52">
        <f>IF(数据录入!$B52="","",C52+IF(数据录入!$C52="",0,数据录入!$C52))</f>
      </c>
      <c r="I52">
        <f>IF(数据录入!$B52="","",MAX(0,H52-1))</f>
      </c>
      <c r="J52" s="3">
        <f>IF(OR(数据录入!$B52="",H52=0),"",ROUND(数据录入!$B52*100/H52,2))</f>
      </c>
    </row>
    <row r="53" ht="18.00" customHeight="true">
      <c r="A53">
        <f>IF(数据录入!$B53="","",IF(数据录入!$A53=""," ",数据录入!$A53))</f>
      </c>
      <c r="B53">
        <f>IF(数据录入!$B53="","",数据录入!$B53)</f>
      </c>
      <c r="C53">
        <f>IF(数据录入!$B53="","",COUNT(数据录入!$D53:$AG53))</f>
      </c>
      <c r="D53">
        <f>IF(数据录入!$B53="","",SUM(数据录入!$D53:$AG53))</f>
      </c>
      <c r="E53" s="3">
        <f>IF(OR(数据录入!$B53="",数据录入!$B53=0),"",ROUND(D53/(数据录入!$B53*100)*100,2))</f>
      </c>
      <c r="F53">
        <f>IF(数据录入!$B53="","",IF(ROW()=2,0,SUM(数据录入!$B$2:数据录入!$B52)))</f>
      </c>
      <c r="G53">
        <f>IF(数据录入!$B53="","",F53+数据录入!$B53)</f>
      </c>
      <c r="H53">
        <f>IF(数据录入!$B53="","",C53+IF(数据录入!$C53="",0,数据录入!$C53))</f>
      </c>
      <c r="I53">
        <f>IF(数据录入!$B53="","",MAX(0,H53-1))</f>
      </c>
      <c r="J53" s="3">
        <f>IF(OR(数据录入!$B53="",H53=0),"",ROUND(数据录入!$B53*100/H53,2))</f>
      </c>
    </row>
    <row r="54" ht="18.00" customHeight="true">
      <c r="A54">
        <f>IF(数据录入!$B54="","",IF(数据录入!$A54=""," ",数据录入!$A54))</f>
      </c>
      <c r="B54">
        <f>IF(数据录入!$B54="","",数据录入!$B54)</f>
      </c>
      <c r="C54">
        <f>IF(数据录入!$B54="","",COUNT(数据录入!$D54:$AG54))</f>
      </c>
      <c r="D54">
        <f>IF(数据录入!$B54="","",SUM(数据录入!$D54:$AG54))</f>
      </c>
      <c r="E54" s="3">
        <f>IF(OR(数据录入!$B54="",数据录入!$B54=0),"",ROUND(D54/(数据录入!$B54*100)*100,2))</f>
      </c>
      <c r="F54">
        <f>IF(数据录入!$B54="","",IF(ROW()=2,0,SUM(数据录入!$B$2:数据录入!$B53)))</f>
      </c>
      <c r="G54">
        <f>IF(数据录入!$B54="","",F54+数据录入!$B54)</f>
      </c>
      <c r="H54">
        <f>IF(数据录入!$B54="","",C54+IF(数据录入!$C54="",0,数据录入!$C54))</f>
      </c>
      <c r="I54">
        <f>IF(数据录入!$B54="","",MAX(0,H54-1))</f>
      </c>
      <c r="J54" s="3">
        <f>IF(OR(数据录入!$B54="",H54=0),"",ROUND(数据录入!$B54*100/H54,2))</f>
      </c>
    </row>
    <row r="55" ht="18.00" customHeight="true">
      <c r="A55">
        <f>IF(数据录入!$B55="","",IF(数据录入!$A55=""," ",数据录入!$A55))</f>
      </c>
      <c r="B55">
        <f>IF(数据录入!$B55="","",数据录入!$B55)</f>
      </c>
      <c r="C55">
        <f>IF(数据录入!$B55="","",COUNT(数据录入!$D55:$AG55))</f>
      </c>
      <c r="D55">
        <f>IF(数据录入!$B55="","",SUM(数据录入!$D55:$AG55))</f>
      </c>
      <c r="E55" s="3">
        <f>IF(OR(数据录入!$B55="",数据录入!$B55=0),"",ROUND(D55/(数据录入!$B55*100)*100,2))</f>
      </c>
      <c r="F55">
        <f>IF(数据录入!$B55="","",IF(ROW()=2,0,SUM(数据录入!$B$2:数据录入!$B54)))</f>
      </c>
      <c r="G55">
        <f>IF(数据录入!$B55="","",F55+数据录入!$B55)</f>
      </c>
      <c r="H55">
        <f>IF(数据录入!$B55="","",C55+IF(数据录入!$C55="",0,数据录入!$C55))</f>
      </c>
      <c r="I55">
        <f>IF(数据录入!$B55="","",MAX(0,H55-1))</f>
      </c>
      <c r="J55" s="3">
        <f>IF(OR(数据录入!$B55="",H55=0),"",ROUND(数据录入!$B55*100/H55,2))</f>
      </c>
    </row>
    <row r="56" ht="18.00" customHeight="true">
      <c r="A56">
        <f>IF(数据录入!$B56="","",IF(数据录入!$A56=""," ",数据录入!$A56))</f>
      </c>
      <c r="B56">
        <f>IF(数据录入!$B56="","",数据录入!$B56)</f>
      </c>
      <c r="C56">
        <f>IF(数据录入!$B56="","",COUNT(数据录入!$D56:$AG56))</f>
      </c>
      <c r="D56">
        <f>IF(数据录入!$B56="","",SUM(数据录入!$D56:$AG56))</f>
      </c>
      <c r="E56" s="3">
        <f>IF(OR(数据录入!$B56="",数据录入!$B56=0),"",ROUND(D56/(数据录入!$B56*100)*100,2))</f>
      </c>
      <c r="F56">
        <f>IF(数据录入!$B56="","",IF(ROW()=2,0,SUM(数据录入!$B$2:数据录入!$B55)))</f>
      </c>
      <c r="G56">
        <f>IF(数据录入!$B56="","",F56+数据录入!$B56)</f>
      </c>
      <c r="H56">
        <f>IF(数据录入!$B56="","",C56+IF(数据录入!$C56="",0,数据录入!$C56))</f>
      </c>
      <c r="I56">
        <f>IF(数据录入!$B56="","",MAX(0,H56-1))</f>
      </c>
      <c r="J56" s="3">
        <f>IF(OR(数据录入!$B56="",H56=0),"",ROUND(数据录入!$B56*100/H56,2))</f>
      </c>
    </row>
    <row r="57" ht="18.00" customHeight="true">
      <c r="A57">
        <f>IF(数据录入!$B57="","",IF(数据录入!$A57=""," ",数据录入!$A57))</f>
      </c>
      <c r="B57">
        <f>IF(数据录入!$B57="","",数据录入!$B57)</f>
      </c>
      <c r="C57">
        <f>IF(数据录入!$B57="","",COUNT(数据录入!$D57:$AG57))</f>
      </c>
      <c r="D57">
        <f>IF(数据录入!$B57="","",SUM(数据录入!$D57:$AG57))</f>
      </c>
      <c r="E57" s="3">
        <f>IF(OR(数据录入!$B57="",数据录入!$B57=0),"",ROUND(D57/(数据录入!$B57*100)*100,2))</f>
      </c>
      <c r="F57">
        <f>IF(数据录入!$B57="","",IF(ROW()=2,0,SUM(数据录入!$B$2:数据录入!$B56)))</f>
      </c>
      <c r="G57">
        <f>IF(数据录入!$B57="","",F57+数据录入!$B57)</f>
      </c>
      <c r="H57">
        <f>IF(数据录入!$B57="","",C57+IF(数据录入!$C57="",0,数据录入!$C57))</f>
      </c>
      <c r="I57">
        <f>IF(数据录入!$B57="","",MAX(0,H57-1))</f>
      </c>
      <c r="J57" s="3">
        <f>IF(OR(数据录入!$B57="",H57=0),"",ROUND(数据录入!$B57*100/H57,2))</f>
      </c>
    </row>
    <row r="58" ht="18.00" customHeight="true">
      <c r="A58">
        <f>IF(数据录入!$B58="","",IF(数据录入!$A58=""," ",数据录入!$A58))</f>
      </c>
      <c r="B58">
        <f>IF(数据录入!$B58="","",数据录入!$B58)</f>
      </c>
      <c r="C58">
        <f>IF(数据录入!$B58="","",COUNT(数据录入!$D58:$AG58))</f>
      </c>
      <c r="D58">
        <f>IF(数据录入!$B58="","",SUM(数据录入!$D58:$AG58))</f>
      </c>
      <c r="E58" s="3">
        <f>IF(OR(数据录入!$B58="",数据录入!$B58=0),"",ROUND(D58/(数据录入!$B58*100)*100,2))</f>
      </c>
      <c r="F58">
        <f>IF(数据录入!$B58="","",IF(ROW()=2,0,SUM(数据录入!$B$2:数据录入!$B57)))</f>
      </c>
      <c r="G58">
        <f>IF(数据录入!$B58="","",F58+数据录入!$B58)</f>
      </c>
      <c r="H58">
        <f>IF(数据录入!$B58="","",C58+IF(数据录入!$C58="",0,数据录入!$C58))</f>
      </c>
      <c r="I58">
        <f>IF(数据录入!$B58="","",MAX(0,H58-1))</f>
      </c>
      <c r="J58" s="3">
        <f>IF(OR(数据录入!$B58="",H58=0),"",ROUND(数据录入!$B58*100/H58,2))</f>
      </c>
    </row>
    <row r="59" ht="18.00" customHeight="true">
      <c r="A59">
        <f>IF(数据录入!$B59="","",IF(数据录入!$A59=""," ",数据录入!$A59))</f>
      </c>
      <c r="B59">
        <f>IF(数据录入!$B59="","",数据录入!$B59)</f>
      </c>
      <c r="C59">
        <f>IF(数据录入!$B59="","",COUNT(数据录入!$D59:$AG59))</f>
      </c>
      <c r="D59">
        <f>IF(数据录入!$B59="","",SUM(数据录入!$D59:$AG59))</f>
      </c>
      <c r="E59" s="3">
        <f>IF(OR(数据录入!$B59="",数据录入!$B59=0),"",ROUND(D59/(数据录入!$B59*100)*100,2))</f>
      </c>
      <c r="F59">
        <f>IF(数据录入!$B59="","",IF(ROW()=2,0,SUM(数据录入!$B$2:数据录入!$B58)))</f>
      </c>
      <c r="G59">
        <f>IF(数据录入!$B59="","",F59+数据录入!$B59)</f>
      </c>
      <c r="H59">
        <f>IF(数据录入!$B59="","",C59+IF(数据录入!$C59="",0,数据录入!$C59))</f>
      </c>
      <c r="I59">
        <f>IF(数据录入!$B59="","",MAX(0,H59-1))</f>
      </c>
      <c r="J59" s="3">
        <f>IF(OR(数据录入!$B59="",H59=0),"",ROUND(数据录入!$B59*100/H59,2))</f>
      </c>
    </row>
    <row r="60" ht="18.00" customHeight="true">
      <c r="A60">
        <f>IF(数据录入!$B60="","",IF(数据录入!$A60=""," ",数据录入!$A60))</f>
      </c>
      <c r="B60">
        <f>IF(数据录入!$B60="","",数据录入!$B60)</f>
      </c>
      <c r="C60">
        <f>IF(数据录入!$B60="","",COUNT(数据录入!$D60:$AG60))</f>
      </c>
      <c r="D60">
        <f>IF(数据录入!$B60="","",SUM(数据录入!$D60:$AG60))</f>
      </c>
      <c r="E60" s="3">
        <f>IF(OR(数据录入!$B60="",数据录入!$B60=0),"",ROUND(D60/(数据录入!$B60*100)*100,2))</f>
      </c>
      <c r="F60">
        <f>IF(数据录入!$B60="","",IF(ROW()=2,0,SUM(数据录入!$B$2:数据录入!$B59)))</f>
      </c>
      <c r="G60">
        <f>IF(数据录入!$B60="","",F60+数据录入!$B60)</f>
      </c>
      <c r="H60">
        <f>IF(数据录入!$B60="","",C60+IF(数据录入!$C60="",0,数据录入!$C60))</f>
      </c>
      <c r="I60">
        <f>IF(数据录入!$B60="","",MAX(0,H60-1))</f>
      </c>
      <c r="J60" s="3">
        <f>IF(OR(数据录入!$B60="",H60=0),"",ROUND(数据录入!$B60*100/H60,2))</f>
      </c>
    </row>
    <row r="61" ht="18.00" customHeight="true">
      <c r="A61">
        <f>IF(数据录入!$B61="","",IF(数据录入!$A61=""," ",数据录入!$A61))</f>
      </c>
      <c r="B61">
        <f>IF(数据录入!$B61="","",数据录入!$B61)</f>
      </c>
      <c r="C61">
        <f>IF(数据录入!$B61="","",COUNT(数据录入!$D61:$AG61))</f>
      </c>
      <c r="D61">
        <f>IF(数据录入!$B61="","",SUM(数据录入!$D61:$AG61))</f>
      </c>
      <c r="E61" s="3">
        <f>IF(OR(数据录入!$B61="",数据录入!$B61=0),"",ROUND(D61/(数据录入!$B61*100)*100,2))</f>
      </c>
      <c r="F61">
        <f>IF(数据录入!$B61="","",IF(ROW()=2,0,SUM(数据录入!$B$2:数据录入!$B60)))</f>
      </c>
      <c r="G61">
        <f>IF(数据录入!$B61="","",F61+数据录入!$B61)</f>
      </c>
      <c r="H61">
        <f>IF(数据录入!$B61="","",C61+IF(数据录入!$C61="",0,数据录入!$C61))</f>
      </c>
      <c r="I61">
        <f>IF(数据录入!$B61="","",MAX(0,H61-1))</f>
      </c>
      <c r="J61" s="3">
        <f>IF(OR(数据录入!$B61="",H61=0),"",ROUND(数据录入!$B61*100/H61,2))</f>
      </c>
    </row>
    <row r="62" ht="18.00" customHeight="true">
      <c r="A62">
        <f>IF(数据录入!$B62="","",IF(数据录入!$A62=""," ",数据录入!$A62))</f>
      </c>
      <c r="B62">
        <f>IF(数据录入!$B62="","",数据录入!$B62)</f>
      </c>
      <c r="C62">
        <f>IF(数据录入!$B62="","",COUNT(数据录入!$D62:$AG62))</f>
      </c>
      <c r="D62">
        <f>IF(数据录入!$B62="","",SUM(数据录入!$D62:$AG62))</f>
      </c>
      <c r="E62" s="3">
        <f>IF(OR(数据录入!$B62="",数据录入!$B62=0),"",ROUND(D62/(数据录入!$B62*100)*100,2))</f>
      </c>
      <c r="F62">
        <f>IF(数据录入!$B62="","",IF(ROW()=2,0,SUM(数据录入!$B$2:数据录入!$B61)))</f>
      </c>
      <c r="G62">
        <f>IF(数据录入!$B62="","",F62+数据录入!$B62)</f>
      </c>
      <c r="H62">
        <f>IF(数据录入!$B62="","",C62+IF(数据录入!$C62="",0,数据录入!$C62))</f>
      </c>
      <c r="I62">
        <f>IF(数据录入!$B62="","",MAX(0,H62-1))</f>
      </c>
      <c r="J62" s="3">
        <f>IF(OR(数据录入!$B62="",H62=0),"",ROUND(数据录入!$B62*100/H62,2))</f>
      </c>
    </row>
    <row r="63" ht="18.00" customHeight="true">
      <c r="A63">
        <f>IF(数据录入!$B63="","",IF(数据录入!$A63=""," ",数据录入!$A63))</f>
      </c>
      <c r="B63">
        <f>IF(数据录入!$B63="","",数据录入!$B63)</f>
      </c>
      <c r="C63">
        <f>IF(数据录入!$B63="","",COUNT(数据录入!$D63:$AG63))</f>
      </c>
      <c r="D63">
        <f>IF(数据录入!$B63="","",SUM(数据录入!$D63:$AG63))</f>
      </c>
      <c r="E63" s="3">
        <f>IF(OR(数据录入!$B63="",数据录入!$B63=0),"",ROUND(D63/(数据录入!$B63*100)*100,2))</f>
      </c>
      <c r="F63">
        <f>IF(数据录入!$B63="","",IF(ROW()=2,0,SUM(数据录入!$B$2:数据录入!$B62)))</f>
      </c>
      <c r="G63">
        <f>IF(数据录入!$B63="","",F63+数据录入!$B63)</f>
      </c>
      <c r="H63">
        <f>IF(数据录入!$B63="","",C63+IF(数据录入!$C63="",0,数据录入!$C63))</f>
      </c>
      <c r="I63">
        <f>IF(数据录入!$B63="","",MAX(0,H63-1))</f>
      </c>
      <c r="J63" s="3">
        <f>IF(OR(数据录入!$B63="",H63=0),"",ROUND(数据录入!$B63*100/H63,2))</f>
      </c>
    </row>
    <row r="64" ht="18.00" customHeight="true">
      <c r="A64">
        <f>IF(数据录入!$B64="","",IF(数据录入!$A64=""," ",数据录入!$A64))</f>
      </c>
      <c r="B64">
        <f>IF(数据录入!$B64="","",数据录入!$B64)</f>
      </c>
      <c r="C64">
        <f>IF(数据录入!$B64="","",COUNT(数据录入!$D64:$AG64))</f>
      </c>
      <c r="D64">
        <f>IF(数据录入!$B64="","",SUM(数据录入!$D64:$AG64))</f>
      </c>
      <c r="E64" s="3">
        <f>IF(OR(数据录入!$B64="",数据录入!$B64=0),"",ROUND(D64/(数据录入!$B64*100)*100,2))</f>
      </c>
      <c r="F64">
        <f>IF(数据录入!$B64="","",IF(ROW()=2,0,SUM(数据录入!$B$2:数据录入!$B63)))</f>
      </c>
      <c r="G64">
        <f>IF(数据录入!$B64="","",F64+数据录入!$B64)</f>
      </c>
      <c r="H64">
        <f>IF(数据录入!$B64="","",C64+IF(数据录入!$C64="",0,数据录入!$C64))</f>
      </c>
      <c r="I64">
        <f>IF(数据录入!$B64="","",MAX(0,H64-1))</f>
      </c>
      <c r="J64" s="3">
        <f>IF(OR(数据录入!$B64="",H64=0),"",ROUND(数据录入!$B64*100/H64,2))</f>
      </c>
    </row>
    <row r="65" ht="18.00" customHeight="true">
      <c r="A65">
        <f>IF(数据录入!$B65="","",IF(数据录入!$A65=""," ",数据录入!$A65))</f>
      </c>
      <c r="B65">
        <f>IF(数据录入!$B65="","",数据录入!$B65)</f>
      </c>
      <c r="C65">
        <f>IF(数据录入!$B65="","",COUNT(数据录入!$D65:$AG65))</f>
      </c>
      <c r="D65">
        <f>IF(数据录入!$B65="","",SUM(数据录入!$D65:$AG65))</f>
      </c>
      <c r="E65" s="3">
        <f>IF(OR(数据录入!$B65="",数据录入!$B65=0),"",ROUND(D65/(数据录入!$B65*100)*100,2))</f>
      </c>
      <c r="F65">
        <f>IF(数据录入!$B65="","",IF(ROW()=2,0,SUM(数据录入!$B$2:数据录入!$B64)))</f>
      </c>
      <c r="G65">
        <f>IF(数据录入!$B65="","",F65+数据录入!$B65)</f>
      </c>
      <c r="H65">
        <f>IF(数据录入!$B65="","",C65+IF(数据录入!$C65="",0,数据录入!$C65))</f>
      </c>
      <c r="I65">
        <f>IF(数据录入!$B65="","",MAX(0,H65-1))</f>
      </c>
      <c r="J65" s="3">
        <f>IF(OR(数据录入!$B65="",H65=0),"",ROUND(数据录入!$B65*100/H65,2))</f>
      </c>
    </row>
    <row r="66" ht="18.00" customHeight="true">
      <c r="A66">
        <f>IF(数据录入!$B66="","",IF(数据录入!$A66=""," ",数据录入!$A66))</f>
      </c>
      <c r="B66">
        <f>IF(数据录入!$B66="","",数据录入!$B66)</f>
      </c>
      <c r="C66">
        <f>IF(数据录入!$B66="","",COUNT(数据录入!$D66:$AG66))</f>
      </c>
      <c r="D66">
        <f>IF(数据录入!$B66="","",SUM(数据录入!$D66:$AG66))</f>
      </c>
      <c r="E66" s="3">
        <f>IF(OR(数据录入!$B66="",数据录入!$B66=0),"",ROUND(D66/(数据录入!$B66*100)*100,2))</f>
      </c>
      <c r="F66">
        <f>IF(数据录入!$B66="","",IF(ROW()=2,0,SUM(数据录入!$B$2:数据录入!$B65)))</f>
      </c>
      <c r="G66">
        <f>IF(数据录入!$B66="","",F66+数据录入!$B66)</f>
      </c>
      <c r="H66">
        <f>IF(数据录入!$B66="","",C66+IF(数据录入!$C66="",0,数据录入!$C66))</f>
      </c>
      <c r="I66">
        <f>IF(数据录入!$B66="","",MAX(0,H66-1))</f>
      </c>
      <c r="J66" s="3">
        <f>IF(OR(数据录入!$B66="",H66=0),"",ROUND(数据录入!$B66*100/H66,2))</f>
      </c>
    </row>
    <row r="67" ht="18.00" customHeight="true">
      <c r="A67">
        <f>IF(数据录入!$B67="","",IF(数据录入!$A67=""," ",数据录入!$A67))</f>
      </c>
      <c r="B67">
        <f>IF(数据录入!$B67="","",数据录入!$B67)</f>
      </c>
      <c r="C67">
        <f>IF(数据录入!$B67="","",COUNT(数据录入!$D67:$AG67))</f>
      </c>
      <c r="D67">
        <f>IF(数据录入!$B67="","",SUM(数据录入!$D67:$AG67))</f>
      </c>
      <c r="E67" s="3">
        <f>IF(OR(数据录入!$B67="",数据录入!$B67=0),"",ROUND(D67/(数据录入!$B67*100)*100,2))</f>
      </c>
      <c r="F67">
        <f>IF(数据录入!$B67="","",IF(ROW()=2,0,SUM(数据录入!$B$2:数据录入!$B66)))</f>
      </c>
      <c r="G67">
        <f>IF(数据录入!$B67="","",F67+数据录入!$B67)</f>
      </c>
      <c r="H67">
        <f>IF(数据录入!$B67="","",C67+IF(数据录入!$C67="",0,数据录入!$C67))</f>
      </c>
      <c r="I67">
        <f>IF(数据录入!$B67="","",MAX(0,H67-1))</f>
      </c>
      <c r="J67" s="3">
        <f>IF(OR(数据录入!$B67="",H67=0),"",ROUND(数据录入!$B67*100/H67,2))</f>
      </c>
    </row>
    <row r="68" ht="18.00" customHeight="true">
      <c r="A68">
        <f>IF(数据录入!$B68="","",IF(数据录入!$A68=""," ",数据录入!$A68))</f>
      </c>
      <c r="B68">
        <f>IF(数据录入!$B68="","",数据录入!$B68)</f>
      </c>
      <c r="C68">
        <f>IF(数据录入!$B68="","",COUNT(数据录入!$D68:$AG68))</f>
      </c>
      <c r="D68">
        <f>IF(数据录入!$B68="","",SUM(数据录入!$D68:$AG68))</f>
      </c>
      <c r="E68" s="3">
        <f>IF(OR(数据录入!$B68="",数据录入!$B68=0),"",ROUND(D68/(数据录入!$B68*100)*100,2))</f>
      </c>
      <c r="F68">
        <f>IF(数据录入!$B68="","",IF(ROW()=2,0,SUM(数据录入!$B$2:数据录入!$B67)))</f>
      </c>
      <c r="G68">
        <f>IF(数据录入!$B68="","",F68+数据录入!$B68)</f>
      </c>
      <c r="H68">
        <f>IF(数据录入!$B68="","",C68+IF(数据录入!$C68="",0,数据录入!$C68))</f>
      </c>
      <c r="I68">
        <f>IF(数据录入!$B68="","",MAX(0,H68-1))</f>
      </c>
      <c r="J68" s="3">
        <f>IF(OR(数据录入!$B68="",H68=0),"",ROUND(数据录入!$B68*100/H68,2))</f>
      </c>
    </row>
    <row r="69" ht="18.00" customHeight="true">
      <c r="A69">
        <f>IF(数据录入!$B69="","",IF(数据录入!$A69=""," ",数据录入!$A69))</f>
      </c>
      <c r="B69">
        <f>IF(数据录入!$B69="","",数据录入!$B69)</f>
      </c>
      <c r="C69">
        <f>IF(数据录入!$B69="","",COUNT(数据录入!$D69:$AG69))</f>
      </c>
      <c r="D69">
        <f>IF(数据录入!$B69="","",SUM(数据录入!$D69:$AG69))</f>
      </c>
      <c r="E69" s="3">
        <f>IF(OR(数据录入!$B69="",数据录入!$B69=0),"",ROUND(D69/(数据录入!$B69*100)*100,2))</f>
      </c>
      <c r="F69">
        <f>IF(数据录入!$B69="","",IF(ROW()=2,0,SUM(数据录入!$B$2:数据录入!$B68)))</f>
      </c>
      <c r="G69">
        <f>IF(数据录入!$B69="","",F69+数据录入!$B69)</f>
      </c>
      <c r="H69">
        <f>IF(数据录入!$B69="","",C69+IF(数据录入!$C69="",0,数据录入!$C69))</f>
      </c>
      <c r="I69">
        <f>IF(数据录入!$B69="","",MAX(0,H69-1))</f>
      </c>
      <c r="J69" s="3">
        <f>IF(OR(数据录入!$B69="",H69=0),"",ROUND(数据录入!$B69*100/H69,2))</f>
      </c>
    </row>
    <row r="70" ht="18.00" customHeight="true">
      <c r="A70">
        <f>IF(数据录入!$B70="","",IF(数据录入!$A70=""," ",数据录入!$A70))</f>
      </c>
      <c r="B70">
        <f>IF(数据录入!$B70="","",数据录入!$B70)</f>
      </c>
      <c r="C70">
        <f>IF(数据录入!$B70="","",COUNT(数据录入!$D70:$AG70))</f>
      </c>
      <c r="D70">
        <f>IF(数据录入!$B70="","",SUM(数据录入!$D70:$AG70))</f>
      </c>
      <c r="E70" s="3">
        <f>IF(OR(数据录入!$B70="",数据录入!$B70=0),"",ROUND(D70/(数据录入!$B70*100)*100,2))</f>
      </c>
      <c r="F70">
        <f>IF(数据录入!$B70="","",IF(ROW()=2,0,SUM(数据录入!$B$2:数据录入!$B69)))</f>
      </c>
      <c r="G70">
        <f>IF(数据录入!$B70="","",F70+数据录入!$B70)</f>
      </c>
      <c r="H70">
        <f>IF(数据录入!$B70="","",C70+IF(数据录入!$C70="",0,数据录入!$C70))</f>
      </c>
      <c r="I70">
        <f>IF(数据录入!$B70="","",MAX(0,H70-1))</f>
      </c>
      <c r="J70" s="3">
        <f>IF(OR(数据录入!$B70="",H70=0),"",ROUND(数据录入!$B70*100/H70,2))</f>
      </c>
    </row>
    <row r="71" ht="18.00" customHeight="true">
      <c r="A71">
        <f>IF(数据录入!$B71="","",IF(数据录入!$A71=""," ",数据录入!$A71))</f>
      </c>
      <c r="B71">
        <f>IF(数据录入!$B71="","",数据录入!$B71)</f>
      </c>
      <c r="C71">
        <f>IF(数据录入!$B71="","",COUNT(数据录入!$D71:$AG71))</f>
      </c>
      <c r="D71">
        <f>IF(数据录入!$B71="","",SUM(数据录入!$D71:$AG71))</f>
      </c>
      <c r="E71" s="3">
        <f>IF(OR(数据录入!$B71="",数据录入!$B71=0),"",ROUND(D71/(数据录入!$B71*100)*100,2))</f>
      </c>
      <c r="F71">
        <f>IF(数据录入!$B71="","",IF(ROW()=2,0,SUM(数据录入!$B$2:数据录入!$B70)))</f>
      </c>
      <c r="G71">
        <f>IF(数据录入!$B71="","",F71+数据录入!$B71)</f>
      </c>
      <c r="H71">
        <f>IF(数据录入!$B71="","",C71+IF(数据录入!$C71="",0,数据录入!$C71))</f>
      </c>
      <c r="I71">
        <f>IF(数据录入!$B71="","",MAX(0,H71-1))</f>
      </c>
      <c r="J71" s="3">
        <f>IF(OR(数据录入!$B71="",H71=0),"",ROUND(数据录入!$B71*100/H71,2))</f>
      </c>
    </row>
    <row r="72" ht="18.00" customHeight="true">
      <c r="A72">
        <f>IF(数据录入!$B72="","",IF(数据录入!$A72=""," ",数据录入!$A72))</f>
      </c>
      <c r="B72">
        <f>IF(数据录入!$B72="","",数据录入!$B72)</f>
      </c>
      <c r="C72">
        <f>IF(数据录入!$B72="","",COUNT(数据录入!$D72:$AG72))</f>
      </c>
      <c r="D72">
        <f>IF(数据录入!$B72="","",SUM(数据录入!$D72:$AG72))</f>
      </c>
      <c r="E72" s="3">
        <f>IF(OR(数据录入!$B72="",数据录入!$B72=0),"",ROUND(D72/(数据录入!$B72*100)*100,2))</f>
      </c>
      <c r="F72">
        <f>IF(数据录入!$B72="","",IF(ROW()=2,0,SUM(数据录入!$B$2:数据录入!$B71)))</f>
      </c>
      <c r="G72">
        <f>IF(数据录入!$B72="","",F72+数据录入!$B72)</f>
      </c>
      <c r="H72">
        <f>IF(数据录入!$B72="","",C72+IF(数据录入!$C72="",0,数据录入!$C72))</f>
      </c>
      <c r="I72">
        <f>IF(数据录入!$B72="","",MAX(0,H72-1))</f>
      </c>
      <c r="J72" s="3">
        <f>IF(OR(数据录入!$B72="",H72=0),"",ROUND(数据录入!$B72*100/H72,2))</f>
      </c>
    </row>
    <row r="73" ht="18.00" customHeight="true">
      <c r="A73">
        <f>IF(数据录入!$B73="","",IF(数据录入!$A73=""," ",数据录入!$A73))</f>
      </c>
      <c r="B73">
        <f>IF(数据录入!$B73="","",数据录入!$B73)</f>
      </c>
      <c r="C73">
        <f>IF(数据录入!$B73="","",COUNT(数据录入!$D73:$AG73))</f>
      </c>
      <c r="D73">
        <f>IF(数据录入!$B73="","",SUM(数据录入!$D73:$AG73))</f>
      </c>
      <c r="E73" s="3">
        <f>IF(OR(数据录入!$B73="",数据录入!$B73=0),"",ROUND(D73/(数据录入!$B73*100)*100,2))</f>
      </c>
      <c r="F73">
        <f>IF(数据录入!$B73="","",IF(ROW()=2,0,SUM(数据录入!$B$2:数据录入!$B72)))</f>
      </c>
      <c r="G73">
        <f>IF(数据录入!$B73="","",F73+数据录入!$B73)</f>
      </c>
      <c r="H73">
        <f>IF(数据录入!$B73="","",C73+IF(数据录入!$C73="",0,数据录入!$C73))</f>
      </c>
      <c r="I73">
        <f>IF(数据录入!$B73="","",MAX(0,H73-1))</f>
      </c>
      <c r="J73" s="3">
        <f>IF(OR(数据录入!$B73="",H73=0),"",ROUND(数据录入!$B73*100/H73,2))</f>
      </c>
    </row>
    <row r="74" ht="18.00" customHeight="true">
      <c r="A74">
        <f>IF(数据录入!$B74="","",IF(数据录入!$A74=""," ",数据录入!$A74))</f>
      </c>
      <c r="B74">
        <f>IF(数据录入!$B74="","",数据录入!$B74)</f>
      </c>
      <c r="C74">
        <f>IF(数据录入!$B74="","",COUNT(数据录入!$D74:$AG74))</f>
      </c>
      <c r="D74">
        <f>IF(数据录入!$B74="","",SUM(数据录入!$D74:$AG74))</f>
      </c>
      <c r="E74" s="3">
        <f>IF(OR(数据录入!$B74="",数据录入!$B74=0),"",ROUND(D74/(数据录入!$B74*100)*100,2))</f>
      </c>
      <c r="F74">
        <f>IF(数据录入!$B74="","",IF(ROW()=2,0,SUM(数据录入!$B$2:数据录入!$B73)))</f>
      </c>
      <c r="G74">
        <f>IF(数据录入!$B74="","",F74+数据录入!$B74)</f>
      </c>
      <c r="H74">
        <f>IF(数据录入!$B74="","",C74+IF(数据录入!$C74="",0,数据录入!$C74))</f>
      </c>
      <c r="I74">
        <f>IF(数据录入!$B74="","",MAX(0,H74-1))</f>
      </c>
      <c r="J74" s="3">
        <f>IF(OR(数据录入!$B74="",H74=0),"",ROUND(数据录入!$B74*100/H74,2))</f>
      </c>
    </row>
    <row r="75" ht="18.00" customHeight="true">
      <c r="A75">
        <f>IF(数据录入!$B75="","",IF(数据录入!$A75=""," ",数据录入!$A75))</f>
      </c>
      <c r="B75">
        <f>IF(数据录入!$B75="","",数据录入!$B75)</f>
      </c>
      <c r="C75">
        <f>IF(数据录入!$B75="","",COUNT(数据录入!$D75:$AG75))</f>
      </c>
      <c r="D75">
        <f>IF(数据录入!$B75="","",SUM(数据录入!$D75:$AG75))</f>
      </c>
      <c r="E75" s="3">
        <f>IF(OR(数据录入!$B75="",数据录入!$B75=0),"",ROUND(D75/(数据录入!$B75*100)*100,2))</f>
      </c>
      <c r="F75">
        <f>IF(数据录入!$B75="","",IF(ROW()=2,0,SUM(数据录入!$B$2:数据录入!$B74)))</f>
      </c>
      <c r="G75">
        <f>IF(数据录入!$B75="","",F75+数据录入!$B75)</f>
      </c>
      <c r="H75">
        <f>IF(数据录入!$B75="","",C75+IF(数据录入!$C75="",0,数据录入!$C75))</f>
      </c>
      <c r="I75">
        <f>IF(数据录入!$B75="","",MAX(0,H75-1))</f>
      </c>
      <c r="J75" s="3">
        <f>IF(OR(数据录入!$B75="",H75=0),"",ROUND(数据录入!$B75*100/H75,2))</f>
      </c>
    </row>
    <row r="76" ht="18.00" customHeight="true">
      <c r="A76">
        <f>IF(数据录入!$B76="","",IF(数据录入!$A76=""," ",数据录入!$A76))</f>
      </c>
      <c r="B76">
        <f>IF(数据录入!$B76="","",数据录入!$B76)</f>
      </c>
      <c r="C76">
        <f>IF(数据录入!$B76="","",COUNT(数据录入!$D76:$AG76))</f>
      </c>
      <c r="D76">
        <f>IF(数据录入!$B76="","",SUM(数据录入!$D76:$AG76))</f>
      </c>
      <c r="E76" s="3">
        <f>IF(OR(数据录入!$B76="",数据录入!$B76=0),"",ROUND(D76/(数据录入!$B76*100)*100,2))</f>
      </c>
      <c r="F76">
        <f>IF(数据录入!$B76="","",IF(ROW()=2,0,SUM(数据录入!$B$2:数据录入!$B75)))</f>
      </c>
      <c r="G76">
        <f>IF(数据录入!$B76="","",F76+数据录入!$B76)</f>
      </c>
      <c r="H76">
        <f>IF(数据录入!$B76="","",C76+IF(数据录入!$C76="",0,数据录入!$C76))</f>
      </c>
      <c r="I76">
        <f>IF(数据录入!$B76="","",MAX(0,H76-1))</f>
      </c>
      <c r="J76" s="3">
        <f>IF(OR(数据录入!$B76="",H76=0),"",ROUND(数据录入!$B76*100/H76,2))</f>
      </c>
    </row>
    <row r="77" ht="18.00" customHeight="true">
      <c r="A77">
        <f>IF(数据录入!$B77="","",IF(数据录入!$A77=""," ",数据录入!$A77))</f>
      </c>
      <c r="B77">
        <f>IF(数据录入!$B77="","",数据录入!$B77)</f>
      </c>
      <c r="C77">
        <f>IF(数据录入!$B77="","",COUNT(数据录入!$D77:$AG77))</f>
      </c>
      <c r="D77">
        <f>IF(数据录入!$B77="","",SUM(数据录入!$D77:$AG77))</f>
      </c>
      <c r="E77" s="3">
        <f>IF(OR(数据录入!$B77="",数据录入!$B77=0),"",ROUND(D77/(数据录入!$B77*100)*100,2))</f>
      </c>
      <c r="F77">
        <f>IF(数据录入!$B77="","",IF(ROW()=2,0,SUM(数据录入!$B$2:数据录入!$B76)))</f>
      </c>
      <c r="G77">
        <f>IF(数据录入!$B77="","",F77+数据录入!$B77)</f>
      </c>
      <c r="H77">
        <f>IF(数据录入!$B77="","",C77+IF(数据录入!$C77="",0,数据录入!$C77))</f>
      </c>
      <c r="I77">
        <f>IF(数据录入!$B77="","",MAX(0,H77-1))</f>
      </c>
      <c r="J77" s="3">
        <f>IF(OR(数据录入!$B77="",H77=0),"",ROUND(数据录入!$B77*100/H77,2))</f>
      </c>
    </row>
    <row r="78" ht="18.00" customHeight="true">
      <c r="A78">
        <f>IF(数据录入!$B78="","",IF(数据录入!$A78=""," ",数据录入!$A78))</f>
      </c>
      <c r="B78">
        <f>IF(数据录入!$B78="","",数据录入!$B78)</f>
      </c>
      <c r="C78">
        <f>IF(数据录入!$B78="","",COUNT(数据录入!$D78:$AG78))</f>
      </c>
      <c r="D78">
        <f>IF(数据录入!$B78="","",SUM(数据录入!$D78:$AG78))</f>
      </c>
      <c r="E78" s="3">
        <f>IF(OR(数据录入!$B78="",数据录入!$B78=0),"",ROUND(D78/(数据录入!$B78*100)*100,2))</f>
      </c>
      <c r="F78">
        <f>IF(数据录入!$B78="","",IF(ROW()=2,0,SUM(数据录入!$B$2:数据录入!$B77)))</f>
      </c>
      <c r="G78">
        <f>IF(数据录入!$B78="","",F78+数据录入!$B78)</f>
      </c>
      <c r="H78">
        <f>IF(数据录入!$B78="","",C78+IF(数据录入!$C78="",0,数据录入!$C78))</f>
      </c>
      <c r="I78">
        <f>IF(数据录入!$B78="","",MAX(0,H78-1))</f>
      </c>
      <c r="J78" s="3">
        <f>IF(OR(数据录入!$B78="",H78=0),"",ROUND(数据录入!$B78*100/H78,2))</f>
      </c>
    </row>
    <row r="79" ht="18.00" customHeight="true">
      <c r="A79">
        <f>IF(数据录入!$B79="","",IF(数据录入!$A79=""," ",数据录入!$A79))</f>
      </c>
      <c r="B79">
        <f>IF(数据录入!$B79="","",数据录入!$B79)</f>
      </c>
      <c r="C79">
        <f>IF(数据录入!$B79="","",COUNT(数据录入!$D79:$AG79))</f>
      </c>
      <c r="D79">
        <f>IF(数据录入!$B79="","",SUM(数据录入!$D79:$AG79))</f>
      </c>
      <c r="E79" s="3">
        <f>IF(OR(数据录入!$B79="",数据录入!$B79=0),"",ROUND(D79/(数据录入!$B79*100)*100,2))</f>
      </c>
      <c r="F79">
        <f>IF(数据录入!$B79="","",IF(ROW()=2,0,SUM(数据录入!$B$2:数据录入!$B78)))</f>
      </c>
      <c r="G79">
        <f>IF(数据录入!$B79="","",F79+数据录入!$B79)</f>
      </c>
      <c r="H79">
        <f>IF(数据录入!$B79="","",C79+IF(数据录入!$C79="",0,数据录入!$C79))</f>
      </c>
      <c r="I79">
        <f>IF(数据录入!$B79="","",MAX(0,H79-1))</f>
      </c>
      <c r="J79" s="3">
        <f>IF(OR(数据录入!$B79="",H79=0),"",ROUND(数据录入!$B79*100/H79,2))</f>
      </c>
    </row>
    <row r="80" ht="18.00" customHeight="true">
      <c r="A80">
        <f>IF(数据录入!$B80="","",IF(数据录入!$A80=""," ",数据录入!$A80))</f>
      </c>
      <c r="B80">
        <f>IF(数据录入!$B80="","",数据录入!$B80)</f>
      </c>
      <c r="C80">
        <f>IF(数据录入!$B80="","",COUNT(数据录入!$D80:$AG80))</f>
      </c>
      <c r="D80">
        <f>IF(数据录入!$B80="","",SUM(数据录入!$D80:$AG80))</f>
      </c>
      <c r="E80" s="3">
        <f>IF(OR(数据录入!$B80="",数据录入!$B80=0),"",ROUND(D80/(数据录入!$B80*100)*100,2))</f>
      </c>
      <c r="F80">
        <f>IF(数据录入!$B80="","",IF(ROW()=2,0,SUM(数据录入!$B$2:数据录入!$B79)))</f>
      </c>
      <c r="G80">
        <f>IF(数据录入!$B80="","",F80+数据录入!$B80)</f>
      </c>
      <c r="H80">
        <f>IF(数据录入!$B80="","",C80+IF(数据录入!$C80="",0,数据录入!$C80))</f>
      </c>
      <c r="I80">
        <f>IF(数据录入!$B80="","",MAX(0,H80-1))</f>
      </c>
      <c r="J80" s="3">
        <f>IF(OR(数据录入!$B80="",H80=0),"",ROUND(数据录入!$B80*100/H80,2))</f>
      </c>
    </row>
    <row r="81" ht="18.00" customHeight="true">
      <c r="A81">
        <f>IF(数据录入!$B81="","",IF(数据录入!$A81=""," ",数据录入!$A81))</f>
      </c>
      <c r="B81">
        <f>IF(数据录入!$B81="","",数据录入!$B81)</f>
      </c>
      <c r="C81">
        <f>IF(数据录入!$B81="","",COUNT(数据录入!$D81:$AG81))</f>
      </c>
      <c r="D81">
        <f>IF(数据录入!$B81="","",SUM(数据录入!$D81:$AG81))</f>
      </c>
      <c r="E81" s="3">
        <f>IF(OR(数据录入!$B81="",数据录入!$B81=0),"",ROUND(D81/(数据录入!$B81*100)*100,2))</f>
      </c>
      <c r="F81">
        <f>IF(数据录入!$B81="","",IF(ROW()=2,0,SUM(数据录入!$B$2:数据录入!$B80)))</f>
      </c>
      <c r="G81">
        <f>IF(数据录入!$B81="","",F81+数据录入!$B81)</f>
      </c>
      <c r="H81">
        <f>IF(数据录入!$B81="","",C81+IF(数据录入!$C81="",0,数据录入!$C81))</f>
      </c>
      <c r="I81">
        <f>IF(数据录入!$B81="","",MAX(0,H81-1))</f>
      </c>
      <c r="J81" s="3">
        <f>IF(OR(数据录入!$B81="",H81=0),"",ROUND(数据录入!$B81*100/H81,2))</f>
      </c>
    </row>
    <row r="82" ht="18.00" customHeight="true">
      <c r="A82">
        <f>IF(数据录入!$B82="","",IF(数据录入!$A82=""," ",数据录入!$A82))</f>
      </c>
      <c r="B82">
        <f>IF(数据录入!$B82="","",数据录入!$B82)</f>
      </c>
      <c r="C82">
        <f>IF(数据录入!$B82="","",COUNT(数据录入!$D82:$AG82))</f>
      </c>
      <c r="D82">
        <f>IF(数据录入!$B82="","",SUM(数据录入!$D82:$AG82))</f>
      </c>
      <c r="E82" s="3">
        <f>IF(OR(数据录入!$B82="",数据录入!$B82=0),"",ROUND(D82/(数据录入!$B82*100)*100,2))</f>
      </c>
      <c r="F82">
        <f>IF(数据录入!$B82="","",IF(ROW()=2,0,SUM(数据录入!$B$2:数据录入!$B81)))</f>
      </c>
      <c r="G82">
        <f>IF(数据录入!$B82="","",F82+数据录入!$B82)</f>
      </c>
      <c r="H82">
        <f>IF(数据录入!$B82="","",C82+IF(数据录入!$C82="",0,数据录入!$C82))</f>
      </c>
      <c r="I82">
        <f>IF(数据录入!$B82="","",MAX(0,H82-1))</f>
      </c>
      <c r="J82" s="3">
        <f>IF(OR(数据录入!$B82="",H82=0),"",ROUND(数据录入!$B82*100/H82,2))</f>
      </c>
    </row>
    <row r="83" ht="18.00" customHeight="true">
      <c r="A83">
        <f>IF(数据录入!$B83="","",IF(数据录入!$A83=""," ",数据录入!$A83))</f>
      </c>
      <c r="B83">
        <f>IF(数据录入!$B83="","",数据录入!$B83)</f>
      </c>
      <c r="C83">
        <f>IF(数据录入!$B83="","",COUNT(数据录入!$D83:$AG83))</f>
      </c>
      <c r="D83">
        <f>IF(数据录入!$B83="","",SUM(数据录入!$D83:$AG83))</f>
      </c>
      <c r="E83" s="3">
        <f>IF(OR(数据录入!$B83="",数据录入!$B83=0),"",ROUND(D83/(数据录入!$B83*100)*100,2))</f>
      </c>
      <c r="F83">
        <f>IF(数据录入!$B83="","",IF(ROW()=2,0,SUM(数据录入!$B$2:数据录入!$B82)))</f>
      </c>
      <c r="G83">
        <f>IF(数据录入!$B83="","",F83+数据录入!$B83)</f>
      </c>
      <c r="H83">
        <f>IF(数据录入!$B83="","",C83+IF(数据录入!$C83="",0,数据录入!$C83))</f>
      </c>
      <c r="I83">
        <f>IF(数据录入!$B83="","",MAX(0,H83-1))</f>
      </c>
      <c r="J83" s="3">
        <f>IF(OR(数据录入!$B83="",H83=0),"",ROUND(数据录入!$B83*100/H83,2))</f>
      </c>
    </row>
    <row r="84" ht="18.00" customHeight="true">
      <c r="A84">
        <f>IF(数据录入!$B84="","",IF(数据录入!$A84=""," ",数据录入!$A84))</f>
      </c>
      <c r="B84">
        <f>IF(数据录入!$B84="","",数据录入!$B84)</f>
      </c>
      <c r="C84">
        <f>IF(数据录入!$B84="","",COUNT(数据录入!$D84:$AG84))</f>
      </c>
      <c r="D84">
        <f>IF(数据录入!$B84="","",SUM(数据录入!$D84:$AG84))</f>
      </c>
      <c r="E84" s="3">
        <f>IF(OR(数据录入!$B84="",数据录入!$B84=0),"",ROUND(D84/(数据录入!$B84*100)*100,2))</f>
      </c>
      <c r="F84">
        <f>IF(数据录入!$B84="","",IF(ROW()=2,0,SUM(数据录入!$B$2:数据录入!$B83)))</f>
      </c>
      <c r="G84">
        <f>IF(数据录入!$B84="","",F84+数据录入!$B84)</f>
      </c>
      <c r="H84">
        <f>IF(数据录入!$B84="","",C84+IF(数据录入!$C84="",0,数据录入!$C84))</f>
      </c>
      <c r="I84">
        <f>IF(数据录入!$B84="","",MAX(0,H84-1))</f>
      </c>
      <c r="J84" s="3">
        <f>IF(OR(数据录入!$B84="",H84=0),"",ROUND(数据录入!$B84*100/H84,2))</f>
      </c>
    </row>
    <row r="85" ht="18.00" customHeight="true">
      <c r="A85">
        <f>IF(数据录入!$B85="","",IF(数据录入!$A85=""," ",数据录入!$A85))</f>
      </c>
      <c r="B85">
        <f>IF(数据录入!$B85="","",数据录入!$B85)</f>
      </c>
      <c r="C85">
        <f>IF(数据录入!$B85="","",COUNT(数据录入!$D85:$AG85))</f>
      </c>
      <c r="D85">
        <f>IF(数据录入!$B85="","",SUM(数据录入!$D85:$AG85))</f>
      </c>
      <c r="E85" s="3">
        <f>IF(OR(数据录入!$B85="",数据录入!$B85=0),"",ROUND(D85/(数据录入!$B85*100)*100,2))</f>
      </c>
      <c r="F85">
        <f>IF(数据录入!$B85="","",IF(ROW()=2,0,SUM(数据录入!$B$2:数据录入!$B84)))</f>
      </c>
      <c r="G85">
        <f>IF(数据录入!$B85="","",F85+数据录入!$B85)</f>
      </c>
      <c r="H85">
        <f>IF(数据录入!$B85="","",C85+IF(数据录入!$C85="",0,数据录入!$C85))</f>
      </c>
      <c r="I85">
        <f>IF(数据录入!$B85="","",MAX(0,H85-1))</f>
      </c>
      <c r="J85" s="3">
        <f>IF(OR(数据录入!$B85="",H85=0),"",ROUND(数据录入!$B85*100/H85,2))</f>
      </c>
    </row>
    <row r="86" ht="18.00" customHeight="true">
      <c r="A86">
        <f>IF(数据录入!$B86="","",IF(数据录入!$A86=""," ",数据录入!$A86))</f>
      </c>
      <c r="B86">
        <f>IF(数据录入!$B86="","",数据录入!$B86)</f>
      </c>
      <c r="C86">
        <f>IF(数据录入!$B86="","",COUNT(数据录入!$D86:$AG86))</f>
      </c>
      <c r="D86">
        <f>IF(数据录入!$B86="","",SUM(数据录入!$D86:$AG86))</f>
      </c>
      <c r="E86" s="3">
        <f>IF(OR(数据录入!$B86="",数据录入!$B86=0),"",ROUND(D86/(数据录入!$B86*100)*100,2))</f>
      </c>
      <c r="F86">
        <f>IF(数据录入!$B86="","",IF(ROW()=2,0,SUM(数据录入!$B$2:数据录入!$B85)))</f>
      </c>
      <c r="G86">
        <f>IF(数据录入!$B86="","",F86+数据录入!$B86)</f>
      </c>
      <c r="H86">
        <f>IF(数据录入!$B86="","",C86+IF(数据录入!$C86="",0,数据录入!$C86))</f>
      </c>
      <c r="I86">
        <f>IF(数据录入!$B86="","",MAX(0,H86-1))</f>
      </c>
      <c r="J86" s="3">
        <f>IF(OR(数据录入!$B86="",H86=0),"",ROUND(数据录入!$B86*100/H86,2))</f>
      </c>
    </row>
    <row r="87" ht="18.00" customHeight="true">
      <c r="A87">
        <f>IF(数据录入!$B87="","",IF(数据录入!$A87=""," ",数据录入!$A87))</f>
      </c>
      <c r="B87">
        <f>IF(数据录入!$B87="","",数据录入!$B87)</f>
      </c>
      <c r="C87">
        <f>IF(数据录入!$B87="","",COUNT(数据录入!$D87:$AG87))</f>
      </c>
      <c r="D87">
        <f>IF(数据录入!$B87="","",SUM(数据录入!$D87:$AG87))</f>
      </c>
      <c r="E87" s="3">
        <f>IF(OR(数据录入!$B87="",数据录入!$B87=0),"",ROUND(D87/(数据录入!$B87*100)*100,2))</f>
      </c>
      <c r="F87">
        <f>IF(数据录入!$B87="","",IF(ROW()=2,0,SUM(数据录入!$B$2:数据录入!$B86)))</f>
      </c>
      <c r="G87">
        <f>IF(数据录入!$B87="","",F87+数据录入!$B87)</f>
      </c>
      <c r="H87">
        <f>IF(数据录入!$B87="","",C87+IF(数据录入!$C87="",0,数据录入!$C87))</f>
      </c>
      <c r="I87">
        <f>IF(数据录入!$B87="","",MAX(0,H87-1))</f>
      </c>
      <c r="J87" s="3">
        <f>IF(OR(数据录入!$B87="",H87=0),"",ROUND(数据录入!$B87*100/H87,2))</f>
      </c>
    </row>
    <row r="88" ht="18.00" customHeight="true">
      <c r="A88">
        <f>IF(数据录入!$B88="","",IF(数据录入!$A88=""," ",数据录入!$A88))</f>
      </c>
      <c r="B88">
        <f>IF(数据录入!$B88="","",数据录入!$B88)</f>
      </c>
      <c r="C88">
        <f>IF(数据录入!$B88="","",COUNT(数据录入!$D88:$AG88))</f>
      </c>
      <c r="D88">
        <f>IF(数据录入!$B88="","",SUM(数据录入!$D88:$AG88))</f>
      </c>
      <c r="E88" s="3">
        <f>IF(OR(数据录入!$B88="",数据录入!$B88=0),"",ROUND(D88/(数据录入!$B88*100)*100,2))</f>
      </c>
      <c r="F88">
        <f>IF(数据录入!$B88="","",IF(ROW()=2,0,SUM(数据录入!$B$2:数据录入!$B87)))</f>
      </c>
      <c r="G88">
        <f>IF(数据录入!$B88="","",F88+数据录入!$B88)</f>
      </c>
      <c r="H88">
        <f>IF(数据录入!$B88="","",C88+IF(数据录入!$C88="",0,数据录入!$C88))</f>
      </c>
      <c r="I88">
        <f>IF(数据录入!$B88="","",MAX(0,H88-1))</f>
      </c>
      <c r="J88" s="3">
        <f>IF(OR(数据录入!$B88="",H88=0),"",ROUND(数据录入!$B88*100/H88,2))</f>
      </c>
    </row>
    <row r="89" ht="18.00" customHeight="true">
      <c r="A89">
        <f>IF(数据录入!$B89="","",IF(数据录入!$A89=""," ",数据录入!$A89))</f>
      </c>
      <c r="B89">
        <f>IF(数据录入!$B89="","",数据录入!$B89)</f>
      </c>
      <c r="C89">
        <f>IF(数据录入!$B89="","",COUNT(数据录入!$D89:$AG89))</f>
      </c>
      <c r="D89">
        <f>IF(数据录入!$B89="","",SUM(数据录入!$D89:$AG89))</f>
      </c>
      <c r="E89" s="3">
        <f>IF(OR(数据录入!$B89="",数据录入!$B89=0),"",ROUND(D89/(数据录入!$B89*100)*100,2))</f>
      </c>
      <c r="F89">
        <f>IF(数据录入!$B89="","",IF(ROW()=2,0,SUM(数据录入!$B$2:数据录入!$B88)))</f>
      </c>
      <c r="G89">
        <f>IF(数据录入!$B89="","",F89+数据录入!$B89)</f>
      </c>
      <c r="H89">
        <f>IF(数据录入!$B89="","",C89+IF(数据录入!$C89="",0,数据录入!$C89))</f>
      </c>
      <c r="I89">
        <f>IF(数据录入!$B89="","",MAX(0,H89-1))</f>
      </c>
      <c r="J89" s="3">
        <f>IF(OR(数据录入!$B89="",H89=0),"",ROUND(数据录入!$B89*100/H89,2))</f>
      </c>
    </row>
    <row r="90" ht="18.00" customHeight="true">
      <c r="A90">
        <f>IF(数据录入!$B90="","",IF(数据录入!$A90=""," ",数据录入!$A90))</f>
      </c>
      <c r="B90">
        <f>IF(数据录入!$B90="","",数据录入!$B90)</f>
      </c>
      <c r="C90">
        <f>IF(数据录入!$B90="","",COUNT(数据录入!$D90:$AG90))</f>
      </c>
      <c r="D90">
        <f>IF(数据录入!$B90="","",SUM(数据录入!$D90:$AG90))</f>
      </c>
      <c r="E90" s="3">
        <f>IF(OR(数据录入!$B90="",数据录入!$B90=0),"",ROUND(D90/(数据录入!$B90*100)*100,2))</f>
      </c>
      <c r="F90">
        <f>IF(数据录入!$B90="","",IF(ROW()=2,0,SUM(数据录入!$B$2:数据录入!$B89)))</f>
      </c>
      <c r="G90">
        <f>IF(数据录入!$B90="","",F90+数据录入!$B90)</f>
      </c>
      <c r="H90">
        <f>IF(数据录入!$B90="","",C90+IF(数据录入!$C90="",0,数据录入!$C90))</f>
      </c>
      <c r="I90">
        <f>IF(数据录入!$B90="","",MAX(0,H90-1))</f>
      </c>
      <c r="J90" s="3">
        <f>IF(OR(数据录入!$B90="",H90=0),"",ROUND(数据录入!$B90*100/H90,2))</f>
      </c>
    </row>
    <row r="91" ht="18.00" customHeight="true">
      <c r="A91">
        <f>IF(数据录入!$B91="","",IF(数据录入!$A91=""," ",数据录入!$A91))</f>
      </c>
      <c r="B91">
        <f>IF(数据录入!$B91="","",数据录入!$B91)</f>
      </c>
      <c r="C91">
        <f>IF(数据录入!$B91="","",COUNT(数据录入!$D91:$AG91))</f>
      </c>
      <c r="D91">
        <f>IF(数据录入!$B91="","",SUM(数据录入!$D91:$AG91))</f>
      </c>
      <c r="E91" s="3">
        <f>IF(OR(数据录入!$B91="",数据录入!$B91=0),"",ROUND(D91/(数据录入!$B91*100)*100,2))</f>
      </c>
      <c r="F91">
        <f>IF(数据录入!$B91="","",IF(ROW()=2,0,SUM(数据录入!$B$2:数据录入!$B90)))</f>
      </c>
      <c r="G91">
        <f>IF(数据录入!$B91="","",F91+数据录入!$B91)</f>
      </c>
      <c r="H91">
        <f>IF(数据录入!$B91="","",C91+IF(数据录入!$C91="",0,数据录入!$C91))</f>
      </c>
      <c r="I91">
        <f>IF(数据录入!$B91="","",MAX(0,H91-1))</f>
      </c>
      <c r="J91" s="3">
        <f>IF(OR(数据录入!$B91="",H91=0),"",ROUND(数据录入!$B91*100/H91,2))</f>
      </c>
    </row>
    <row r="92" ht="18.00" customHeight="true">
      <c r="A92">
        <f>IF(数据录入!$B92="","",IF(数据录入!$A92=""," ",数据录入!$A92))</f>
      </c>
      <c r="B92">
        <f>IF(数据录入!$B92="","",数据录入!$B92)</f>
      </c>
      <c r="C92">
        <f>IF(数据录入!$B92="","",COUNT(数据录入!$D92:$AG92))</f>
      </c>
      <c r="D92">
        <f>IF(数据录入!$B92="","",SUM(数据录入!$D92:$AG92))</f>
      </c>
      <c r="E92" s="3">
        <f>IF(OR(数据录入!$B92="",数据录入!$B92=0),"",ROUND(D92/(数据录入!$B92*100)*100,2))</f>
      </c>
      <c r="F92">
        <f>IF(数据录入!$B92="","",IF(ROW()=2,0,SUM(数据录入!$B$2:数据录入!$B91)))</f>
      </c>
      <c r="G92">
        <f>IF(数据录入!$B92="","",F92+数据录入!$B92)</f>
      </c>
      <c r="H92">
        <f>IF(数据录入!$B92="","",C92+IF(数据录入!$C92="",0,数据录入!$C92))</f>
      </c>
      <c r="I92">
        <f>IF(数据录入!$B92="","",MAX(0,H92-1))</f>
      </c>
      <c r="J92" s="3">
        <f>IF(OR(数据录入!$B92="",H92=0),"",ROUND(数据录入!$B92*100/H92,2))</f>
      </c>
    </row>
    <row r="93" ht="18.00" customHeight="true">
      <c r="A93">
        <f>IF(数据录入!$B93="","",IF(数据录入!$A93=""," ",数据录入!$A93))</f>
      </c>
      <c r="B93">
        <f>IF(数据录入!$B93="","",数据录入!$B93)</f>
      </c>
      <c r="C93">
        <f>IF(数据录入!$B93="","",COUNT(数据录入!$D93:$AG93))</f>
      </c>
      <c r="D93">
        <f>IF(数据录入!$B93="","",SUM(数据录入!$D93:$AG93))</f>
      </c>
      <c r="E93" s="3">
        <f>IF(OR(数据录入!$B93="",数据录入!$B93=0),"",ROUND(D93/(数据录入!$B93*100)*100,2))</f>
      </c>
      <c r="F93">
        <f>IF(数据录入!$B93="","",IF(ROW()=2,0,SUM(数据录入!$B$2:数据录入!$B92)))</f>
      </c>
      <c r="G93">
        <f>IF(数据录入!$B93="","",F93+数据录入!$B93)</f>
      </c>
      <c r="H93">
        <f>IF(数据录入!$B93="","",C93+IF(数据录入!$C93="",0,数据录入!$C93))</f>
      </c>
      <c r="I93">
        <f>IF(数据录入!$B93="","",MAX(0,H93-1))</f>
      </c>
      <c r="J93" s="3">
        <f>IF(OR(数据录入!$B93="",H93=0),"",ROUND(数据录入!$B93*100/H93,2))</f>
      </c>
    </row>
    <row r="94" ht="18.00" customHeight="true">
      <c r="A94">
        <f>IF(数据录入!$B94="","",IF(数据录入!$A94=""," ",数据录入!$A94))</f>
      </c>
      <c r="B94">
        <f>IF(数据录入!$B94="","",数据录入!$B94)</f>
      </c>
      <c r="C94">
        <f>IF(数据录入!$B94="","",COUNT(数据录入!$D94:$AG94))</f>
      </c>
      <c r="D94">
        <f>IF(数据录入!$B94="","",SUM(数据录入!$D94:$AG94))</f>
      </c>
      <c r="E94" s="3">
        <f>IF(OR(数据录入!$B94="",数据录入!$B94=0),"",ROUND(D94/(数据录入!$B94*100)*100,2))</f>
      </c>
      <c r="F94">
        <f>IF(数据录入!$B94="","",IF(ROW()=2,0,SUM(数据录入!$B$2:数据录入!$B93)))</f>
      </c>
      <c r="G94">
        <f>IF(数据录入!$B94="","",F94+数据录入!$B94)</f>
      </c>
      <c r="H94">
        <f>IF(数据录入!$B94="","",C94+IF(数据录入!$C94="",0,数据录入!$C94))</f>
      </c>
      <c r="I94">
        <f>IF(数据录入!$B94="","",MAX(0,H94-1))</f>
      </c>
      <c r="J94" s="3">
        <f>IF(OR(数据录入!$B94="",H94=0),"",ROUND(数据录入!$B94*100/H94,2))</f>
      </c>
    </row>
    <row r="95" ht="18.00" customHeight="true">
      <c r="A95">
        <f>IF(数据录入!$B95="","",IF(数据录入!$A95=""," ",数据录入!$A95))</f>
      </c>
      <c r="B95">
        <f>IF(数据录入!$B95="","",数据录入!$B95)</f>
      </c>
      <c r="C95">
        <f>IF(数据录入!$B95="","",COUNT(数据录入!$D95:$AG95))</f>
      </c>
      <c r="D95">
        <f>IF(数据录入!$B95="","",SUM(数据录入!$D95:$AG95))</f>
      </c>
      <c r="E95" s="3">
        <f>IF(OR(数据录入!$B95="",数据录入!$B95=0),"",ROUND(D95/(数据录入!$B95*100)*100,2))</f>
      </c>
      <c r="F95">
        <f>IF(数据录入!$B95="","",IF(ROW()=2,0,SUM(数据录入!$B$2:数据录入!$B94)))</f>
      </c>
      <c r="G95">
        <f>IF(数据录入!$B95="","",F95+数据录入!$B95)</f>
      </c>
      <c r="H95">
        <f>IF(数据录入!$B95="","",C95+IF(数据录入!$C95="",0,数据录入!$C95))</f>
      </c>
      <c r="I95">
        <f>IF(数据录入!$B95="","",MAX(0,H95-1))</f>
      </c>
      <c r="J95" s="3">
        <f>IF(OR(数据录入!$B95="",H95=0),"",ROUND(数据录入!$B95*100/H95,2))</f>
      </c>
    </row>
    <row r="96" ht="18.00" customHeight="true">
      <c r="A96">
        <f>IF(数据录入!$B96="","",IF(数据录入!$A96=""," ",数据录入!$A96))</f>
      </c>
      <c r="B96">
        <f>IF(数据录入!$B96="","",数据录入!$B96)</f>
      </c>
      <c r="C96">
        <f>IF(数据录入!$B96="","",COUNT(数据录入!$D96:$AG96))</f>
      </c>
      <c r="D96">
        <f>IF(数据录入!$B96="","",SUM(数据录入!$D96:$AG96))</f>
      </c>
      <c r="E96" s="3">
        <f>IF(OR(数据录入!$B96="",数据录入!$B96=0),"",ROUND(D96/(数据录入!$B96*100)*100,2))</f>
      </c>
      <c r="F96">
        <f>IF(数据录入!$B96="","",IF(ROW()=2,0,SUM(数据录入!$B$2:数据录入!$B95)))</f>
      </c>
      <c r="G96">
        <f>IF(数据录入!$B96="","",F96+数据录入!$B96)</f>
      </c>
      <c r="H96">
        <f>IF(数据录入!$B96="","",C96+IF(数据录入!$C96="",0,数据录入!$C96))</f>
      </c>
      <c r="I96">
        <f>IF(数据录入!$B96="","",MAX(0,H96-1))</f>
      </c>
      <c r="J96" s="3">
        <f>IF(OR(数据录入!$B96="",H96=0),"",ROUND(数据录入!$B96*100/H96,2))</f>
      </c>
    </row>
    <row r="97" ht="18.00" customHeight="true">
      <c r="A97">
        <f>IF(数据录入!$B97="","",IF(数据录入!$A97=""," ",数据录入!$A97))</f>
      </c>
      <c r="B97">
        <f>IF(数据录入!$B97="","",数据录入!$B97)</f>
      </c>
      <c r="C97">
        <f>IF(数据录入!$B97="","",COUNT(数据录入!$D97:$AG97))</f>
      </c>
      <c r="D97">
        <f>IF(数据录入!$B97="","",SUM(数据录入!$D97:$AG97))</f>
      </c>
      <c r="E97" s="3">
        <f>IF(OR(数据录入!$B97="",数据录入!$B97=0),"",ROUND(D97/(数据录入!$B97*100)*100,2))</f>
      </c>
      <c r="F97">
        <f>IF(数据录入!$B97="","",IF(ROW()=2,0,SUM(数据录入!$B$2:数据录入!$B96)))</f>
      </c>
      <c r="G97">
        <f>IF(数据录入!$B97="","",F97+数据录入!$B97)</f>
      </c>
      <c r="H97">
        <f>IF(数据录入!$B97="","",C97+IF(数据录入!$C97="",0,数据录入!$C97))</f>
      </c>
      <c r="I97">
        <f>IF(数据录入!$B97="","",MAX(0,H97-1))</f>
      </c>
      <c r="J97" s="3">
        <f>IF(OR(数据录入!$B97="",H97=0),"",ROUND(数据录入!$B97*100/H97,2))</f>
      </c>
    </row>
    <row r="98" ht="18.00" customHeight="true">
      <c r="A98">
        <f>IF(数据录入!$B98="","",IF(数据录入!$A98=""," ",数据录入!$A98))</f>
      </c>
      <c r="B98">
        <f>IF(数据录入!$B98="","",数据录入!$B98)</f>
      </c>
      <c r="C98">
        <f>IF(数据录入!$B98="","",COUNT(数据录入!$D98:$AG98))</f>
      </c>
      <c r="D98">
        <f>IF(数据录入!$B98="","",SUM(数据录入!$D98:$AG98))</f>
      </c>
      <c r="E98" s="3">
        <f>IF(OR(数据录入!$B98="",数据录入!$B98=0),"",ROUND(D98/(数据录入!$B98*100)*100,2))</f>
      </c>
      <c r="F98">
        <f>IF(数据录入!$B98="","",IF(ROW()=2,0,SUM(数据录入!$B$2:数据录入!$B97)))</f>
      </c>
      <c r="G98">
        <f>IF(数据录入!$B98="","",F98+数据录入!$B98)</f>
      </c>
      <c r="H98">
        <f>IF(数据录入!$B98="","",C98+IF(数据录入!$C98="",0,数据录入!$C98))</f>
      </c>
      <c r="I98">
        <f>IF(数据录入!$B98="","",MAX(0,H98-1))</f>
      </c>
      <c r="J98" s="3">
        <f>IF(OR(数据录入!$B98="",H98=0),"",ROUND(数据录入!$B98*100/H98,2))</f>
      </c>
    </row>
    <row r="99" ht="18.00" customHeight="true">
      <c r="A99">
        <f>IF(数据录入!$B99="","",IF(数据录入!$A99=""," ",数据录入!$A99))</f>
      </c>
      <c r="B99">
        <f>IF(数据录入!$B99="","",数据录入!$B99)</f>
      </c>
      <c r="C99">
        <f>IF(数据录入!$B99="","",COUNT(数据录入!$D99:$AG99))</f>
      </c>
      <c r="D99">
        <f>IF(数据录入!$B99="","",SUM(数据录入!$D99:$AG99))</f>
      </c>
      <c r="E99" s="3">
        <f>IF(OR(数据录入!$B99="",数据录入!$B99=0),"",ROUND(D99/(数据录入!$B99*100)*100,2))</f>
      </c>
      <c r="F99">
        <f>IF(数据录入!$B99="","",IF(ROW()=2,0,SUM(数据录入!$B$2:数据录入!$B98)))</f>
      </c>
      <c r="G99">
        <f>IF(数据录入!$B99="","",F99+数据录入!$B99)</f>
      </c>
      <c r="H99">
        <f>IF(数据录入!$B99="","",C99+IF(数据录入!$C99="",0,数据录入!$C99))</f>
      </c>
      <c r="I99">
        <f>IF(数据录入!$B99="","",MAX(0,H99-1))</f>
      </c>
      <c r="J99" s="3">
        <f>IF(OR(数据录入!$B99="",H99=0),"",ROUND(数据录入!$B99*100/H99,2))</f>
      </c>
    </row>
    <row r="100" ht="18.00" customHeight="true">
      <c r="A100">
        <f>IF(数据录入!$B100="","",IF(数据录入!$A100=""," ",数据录入!$A100))</f>
      </c>
      <c r="B100">
        <f>IF(数据录入!$B100="","",数据录入!$B100)</f>
      </c>
      <c r="C100">
        <f>IF(数据录入!$B100="","",COUNT(数据录入!$D100:$AG100))</f>
      </c>
      <c r="D100">
        <f>IF(数据录入!$B100="","",SUM(数据录入!$D100:$AG100))</f>
      </c>
      <c r="E100" s="3">
        <f>IF(OR(数据录入!$B100="",数据录入!$B100=0),"",ROUND(D100/(数据录入!$B100*100)*100,2))</f>
      </c>
      <c r="F100">
        <f>IF(数据录入!$B100="","",IF(ROW()=2,0,SUM(数据录入!$B$2:数据录入!$B99)))</f>
      </c>
      <c r="G100">
        <f>IF(数据录入!$B100="","",F100+数据录入!$B100)</f>
      </c>
      <c r="H100">
        <f>IF(数据录入!$B100="","",C100+IF(数据录入!$C100="",0,数据录入!$C100))</f>
      </c>
      <c r="I100">
        <f>IF(数据录入!$B100="","",MAX(0,H100-1))</f>
      </c>
      <c r="J100" s="3">
        <f>IF(OR(数据录入!$B100="",H100=0),"",ROUND(数据录入!$B100*100/H100,2))</f>
      </c>
    </row>
    <row r="101" ht="18.00" customHeight="true">
      <c r="A101">
        <f>IF(数据录入!$B101="","",IF(数据录入!$A101=""," ",数据录入!$A101))</f>
      </c>
      <c r="B101">
        <f>IF(数据录入!$B101="","",数据录入!$B101)</f>
      </c>
      <c r="C101">
        <f>IF(数据录入!$B101="","",COUNT(数据录入!$D101:$AG101))</f>
      </c>
      <c r="D101">
        <f>IF(数据录入!$B101="","",SUM(数据录入!$D101:$AG101))</f>
      </c>
      <c r="E101" s="3">
        <f>IF(OR(数据录入!$B101="",数据录入!$B101=0),"",ROUND(D101/(数据录入!$B101*100)*100,2))</f>
      </c>
      <c r="F101">
        <f>IF(数据录入!$B101="","",IF(ROW()=2,0,SUM(数据录入!$B$2:数据录入!$B100)))</f>
      </c>
      <c r="G101">
        <f>IF(数据录入!$B101="","",F101+数据录入!$B101)</f>
      </c>
      <c r="H101">
        <f>IF(数据录入!$B101="","",C101+IF(数据录入!$C101="",0,数据录入!$C101))</f>
      </c>
      <c r="I101">
        <f>IF(数据录入!$B101="","",MAX(0,H101-1))</f>
      </c>
      <c r="J101" s="3">
        <f>IF(OR(数据录入!$B101="",H101=0),"",ROUND(数据录入!$B101*100/H101,2))</f>
      </c>
    </row>
    <row r="102" ht="18.00" customHeight="true">
      <c r="A102">
        <f>IF(数据录入!$B102="","",IF(数据录入!$A102=""," ",数据录入!$A102))</f>
      </c>
      <c r="B102">
        <f>IF(数据录入!$B102="","",数据录入!$B102)</f>
      </c>
      <c r="C102">
        <f>IF(数据录入!$B102="","",COUNT(数据录入!$D102:$AG102))</f>
      </c>
      <c r="D102">
        <f>IF(数据录入!$B102="","",SUM(数据录入!$D102:$AG102))</f>
      </c>
      <c r="E102" s="3">
        <f>IF(OR(数据录入!$B102="",数据录入!$B102=0),"",ROUND(D102/(数据录入!$B102*100)*100,2))</f>
      </c>
      <c r="F102">
        <f>IF(数据录入!$B102="","",IF(ROW()=2,0,SUM(数据录入!$B$2:数据录入!$B101)))</f>
      </c>
      <c r="G102">
        <f>IF(数据录入!$B102="","",F102+数据录入!$B102)</f>
      </c>
      <c r="H102">
        <f>IF(数据录入!$B102="","",C102+IF(数据录入!$C102="",0,数据录入!$C102))</f>
      </c>
      <c r="I102">
        <f>IF(数据录入!$B102="","",MAX(0,H102-1))</f>
      </c>
      <c r="J102" s="3">
        <f>IF(OR(数据录入!$B102="",H102=0),"",ROUND(数据录入!$B102*100/H102,2))</f>
      </c>
    </row>
    <row r="103" ht="18.00" customHeight="true">
      <c r="A103">
        <f>IF(数据录入!$B103="","",IF(数据录入!$A103=""," ",数据录入!$A103))</f>
      </c>
      <c r="B103">
        <f>IF(数据录入!$B103="","",数据录入!$B103)</f>
      </c>
      <c r="C103">
        <f>IF(数据录入!$B103="","",COUNT(数据录入!$D103:$AG103))</f>
      </c>
      <c r="D103">
        <f>IF(数据录入!$B103="","",SUM(数据录入!$D103:$AG103))</f>
      </c>
      <c r="E103" s="3">
        <f>IF(OR(数据录入!$B103="",数据录入!$B103=0),"",ROUND(D103/(数据录入!$B103*100)*100,2))</f>
      </c>
      <c r="F103">
        <f>IF(数据录入!$B103="","",IF(ROW()=2,0,SUM(数据录入!$B$2:数据录入!$B102)))</f>
      </c>
      <c r="G103">
        <f>IF(数据录入!$B103="","",F103+数据录入!$B103)</f>
      </c>
      <c r="H103">
        <f>IF(数据录入!$B103="","",C103+IF(数据录入!$C103="",0,数据录入!$C103))</f>
      </c>
      <c r="I103">
        <f>IF(数据录入!$B103="","",MAX(0,H103-1))</f>
      </c>
      <c r="J103" s="3">
        <f>IF(OR(数据录入!$B103="",H103=0),"",ROUND(数据录入!$B103*100/H103,2))</f>
      </c>
    </row>
    <row r="104" ht="18.00" customHeight="true">
      <c r="A104">
        <f>IF(数据录入!$B104="","",IF(数据录入!$A104=""," ",数据录入!$A104))</f>
      </c>
      <c r="B104">
        <f>IF(数据录入!$B104="","",数据录入!$B104)</f>
      </c>
      <c r="C104">
        <f>IF(数据录入!$B104="","",COUNT(数据录入!$D104:$AG104))</f>
      </c>
      <c r="D104">
        <f>IF(数据录入!$B104="","",SUM(数据录入!$D104:$AG104))</f>
      </c>
      <c r="E104" s="3">
        <f>IF(OR(数据录入!$B104="",数据录入!$B104=0),"",ROUND(D104/(数据录入!$B104*100)*100,2))</f>
      </c>
      <c r="F104">
        <f>IF(数据录入!$B104="","",IF(ROW()=2,0,SUM(数据录入!$B$2:数据录入!$B103)))</f>
      </c>
      <c r="G104">
        <f>IF(数据录入!$B104="","",F104+数据录入!$B104)</f>
      </c>
      <c r="H104">
        <f>IF(数据录入!$B104="","",C104+IF(数据录入!$C104="",0,数据录入!$C104))</f>
      </c>
      <c r="I104">
        <f>IF(数据录入!$B104="","",MAX(0,H104-1))</f>
      </c>
      <c r="J104" s="3">
        <f>IF(OR(数据录入!$B104="",H104=0),"",ROUND(数据录入!$B104*100/H104,2))</f>
      </c>
    </row>
    <row r="105" ht="18.00" customHeight="true">
      <c r="A105">
        <f>IF(数据录入!$B105="","",IF(数据录入!$A105=""," ",数据录入!$A105))</f>
      </c>
      <c r="B105">
        <f>IF(数据录入!$B105="","",数据录入!$B105)</f>
      </c>
      <c r="C105">
        <f>IF(数据录入!$B105="","",COUNT(数据录入!$D105:$AG105))</f>
      </c>
      <c r="D105">
        <f>IF(数据录入!$B105="","",SUM(数据录入!$D105:$AG105))</f>
      </c>
      <c r="E105" s="3">
        <f>IF(OR(数据录入!$B105="",数据录入!$B105=0),"",ROUND(D105/(数据录入!$B105*100)*100,2))</f>
      </c>
      <c r="F105">
        <f>IF(数据录入!$B105="","",IF(ROW()=2,0,SUM(数据录入!$B$2:数据录入!$B104)))</f>
      </c>
      <c r="G105">
        <f>IF(数据录入!$B105="","",F105+数据录入!$B105)</f>
      </c>
      <c r="H105">
        <f>IF(数据录入!$B105="","",C105+IF(数据录入!$C105="",0,数据录入!$C105))</f>
      </c>
      <c r="I105">
        <f>IF(数据录入!$B105="","",MAX(0,H105-1))</f>
      </c>
      <c r="J105" s="3">
        <f>IF(OR(数据录入!$B105="",H105=0),"",ROUND(数据录入!$B105*100/H105,2))</f>
      </c>
    </row>
    <row r="106" ht="18.00" customHeight="true">
      <c r="A106">
        <f>IF(数据录入!$B106="","",IF(数据录入!$A106=""," ",数据录入!$A106))</f>
      </c>
      <c r="B106">
        <f>IF(数据录入!$B106="","",数据录入!$B106)</f>
      </c>
      <c r="C106">
        <f>IF(数据录入!$B106="","",COUNT(数据录入!$D106:$AG106))</f>
      </c>
      <c r="D106">
        <f>IF(数据录入!$B106="","",SUM(数据录入!$D106:$AG106))</f>
      </c>
      <c r="E106" s="3">
        <f>IF(OR(数据录入!$B106="",数据录入!$B106=0),"",ROUND(D106/(数据录入!$B106*100)*100,2))</f>
      </c>
      <c r="F106">
        <f>IF(数据录入!$B106="","",IF(ROW()=2,0,SUM(数据录入!$B$2:数据录入!$B105)))</f>
      </c>
      <c r="G106">
        <f>IF(数据录入!$B106="","",F106+数据录入!$B106)</f>
      </c>
      <c r="H106">
        <f>IF(数据录入!$B106="","",C106+IF(数据录入!$C106="",0,数据录入!$C106))</f>
      </c>
      <c r="I106">
        <f>IF(数据录入!$B106="","",MAX(0,H106-1))</f>
      </c>
      <c r="J106" s="3">
        <f>IF(OR(数据录入!$B106="",H106=0),"",ROUND(数据录入!$B106*100/H106,2))</f>
      </c>
    </row>
    <row r="107" ht="18.00" customHeight="true">
      <c r="A107">
        <f>IF(数据录入!$B107="","",IF(数据录入!$A107=""," ",数据录入!$A107))</f>
      </c>
      <c r="B107">
        <f>IF(数据录入!$B107="","",数据录入!$B107)</f>
      </c>
      <c r="C107">
        <f>IF(数据录入!$B107="","",COUNT(数据录入!$D107:$AG107))</f>
      </c>
      <c r="D107">
        <f>IF(数据录入!$B107="","",SUM(数据录入!$D107:$AG107))</f>
      </c>
      <c r="E107" s="3">
        <f>IF(OR(数据录入!$B107="",数据录入!$B107=0),"",ROUND(D107/(数据录入!$B107*100)*100,2))</f>
      </c>
      <c r="F107">
        <f>IF(数据录入!$B107="","",IF(ROW()=2,0,SUM(数据录入!$B$2:数据录入!$B106)))</f>
      </c>
      <c r="G107">
        <f>IF(数据录入!$B107="","",F107+数据录入!$B107)</f>
      </c>
      <c r="H107">
        <f>IF(数据录入!$B107="","",C107+IF(数据录入!$C107="",0,数据录入!$C107))</f>
      </c>
      <c r="I107">
        <f>IF(数据录入!$B107="","",MAX(0,H107-1))</f>
      </c>
      <c r="J107" s="3">
        <f>IF(OR(数据录入!$B107="",H107=0),"",ROUND(数据录入!$B107*100/H107,2))</f>
      </c>
    </row>
    <row r="108" ht="18.00" customHeight="true">
      <c r="A108">
        <f>IF(数据录入!$B108="","",IF(数据录入!$A108=""," ",数据录入!$A108))</f>
      </c>
      <c r="B108">
        <f>IF(数据录入!$B108="","",数据录入!$B108)</f>
      </c>
      <c r="C108">
        <f>IF(数据录入!$B108="","",COUNT(数据录入!$D108:$AG108))</f>
      </c>
      <c r="D108">
        <f>IF(数据录入!$B108="","",SUM(数据录入!$D108:$AG108))</f>
      </c>
      <c r="E108" s="3">
        <f>IF(OR(数据录入!$B108="",数据录入!$B108=0),"",ROUND(D108/(数据录入!$B108*100)*100,2))</f>
      </c>
      <c r="F108">
        <f>IF(数据录入!$B108="","",IF(ROW()=2,0,SUM(数据录入!$B$2:数据录入!$B107)))</f>
      </c>
      <c r="G108">
        <f>IF(数据录入!$B108="","",F108+数据录入!$B108)</f>
      </c>
      <c r="H108">
        <f>IF(数据录入!$B108="","",C108+IF(数据录入!$C108="",0,数据录入!$C108))</f>
      </c>
      <c r="I108">
        <f>IF(数据录入!$B108="","",MAX(0,H108-1))</f>
      </c>
      <c r="J108" s="3">
        <f>IF(OR(数据录入!$B108="",H108=0),"",ROUND(数据录入!$B108*100/H108,2))</f>
      </c>
    </row>
    <row r="109" ht="18.00" customHeight="true">
      <c r="A109">
        <f>IF(数据录入!$B109="","",IF(数据录入!$A109=""," ",数据录入!$A109))</f>
      </c>
      <c r="B109">
        <f>IF(数据录入!$B109="","",数据录入!$B109)</f>
      </c>
      <c r="C109">
        <f>IF(数据录入!$B109="","",COUNT(数据录入!$D109:$AG109))</f>
      </c>
      <c r="D109">
        <f>IF(数据录入!$B109="","",SUM(数据录入!$D109:$AG109))</f>
      </c>
      <c r="E109" s="3">
        <f>IF(OR(数据录入!$B109="",数据录入!$B109=0),"",ROUND(D109/(数据录入!$B109*100)*100,2))</f>
      </c>
      <c r="F109">
        <f>IF(数据录入!$B109="","",IF(ROW()=2,0,SUM(数据录入!$B$2:数据录入!$B108)))</f>
      </c>
      <c r="G109">
        <f>IF(数据录入!$B109="","",F109+数据录入!$B109)</f>
      </c>
      <c r="H109">
        <f>IF(数据录入!$B109="","",C109+IF(数据录入!$C109="",0,数据录入!$C109))</f>
      </c>
      <c r="I109">
        <f>IF(数据录入!$B109="","",MAX(0,H109-1))</f>
      </c>
      <c r="J109" s="3">
        <f>IF(OR(数据录入!$B109="",H109=0),"",ROUND(数据录入!$B109*100/H109,2))</f>
      </c>
    </row>
    <row r="110" ht="18.00" customHeight="true">
      <c r="A110">
        <f>IF(数据录入!$B110="","",IF(数据录入!$A110=""," ",数据录入!$A110))</f>
      </c>
      <c r="B110">
        <f>IF(数据录入!$B110="","",数据录入!$B110)</f>
      </c>
      <c r="C110">
        <f>IF(数据录入!$B110="","",COUNT(数据录入!$D110:$AG110))</f>
      </c>
      <c r="D110">
        <f>IF(数据录入!$B110="","",SUM(数据录入!$D110:$AG110))</f>
      </c>
      <c r="E110" s="3">
        <f>IF(OR(数据录入!$B110="",数据录入!$B110=0),"",ROUND(D110/(数据录入!$B110*100)*100,2))</f>
      </c>
      <c r="F110">
        <f>IF(数据录入!$B110="","",IF(ROW()=2,0,SUM(数据录入!$B$2:数据录入!$B109)))</f>
      </c>
      <c r="G110">
        <f>IF(数据录入!$B110="","",F110+数据录入!$B110)</f>
      </c>
      <c r="H110">
        <f>IF(数据录入!$B110="","",C110+IF(数据录入!$C110="",0,数据录入!$C110))</f>
      </c>
      <c r="I110">
        <f>IF(数据录入!$B110="","",MAX(0,H110-1))</f>
      </c>
      <c r="J110" s="3">
        <f>IF(OR(数据录入!$B110="",H110=0),"",ROUND(数据录入!$B110*100/H110,2))</f>
      </c>
    </row>
    <row r="111" ht="18.00" customHeight="true">
      <c r="A111">
        <f>IF(数据录入!$B111="","",IF(数据录入!$A111=""," ",数据录入!$A111))</f>
      </c>
      <c r="B111">
        <f>IF(数据录入!$B111="","",数据录入!$B111)</f>
      </c>
      <c r="C111">
        <f>IF(数据录入!$B111="","",COUNT(数据录入!$D111:$AG111))</f>
      </c>
      <c r="D111">
        <f>IF(数据录入!$B111="","",SUM(数据录入!$D111:$AG111))</f>
      </c>
      <c r="E111" s="3">
        <f>IF(OR(数据录入!$B111="",数据录入!$B111=0),"",ROUND(D111/(数据录入!$B111*100)*100,2))</f>
      </c>
      <c r="F111">
        <f>IF(数据录入!$B111="","",IF(ROW()=2,0,SUM(数据录入!$B$2:数据录入!$B110)))</f>
      </c>
      <c r="G111">
        <f>IF(数据录入!$B111="","",F111+数据录入!$B111)</f>
      </c>
      <c r="H111">
        <f>IF(数据录入!$B111="","",C111+IF(数据录入!$C111="",0,数据录入!$C111))</f>
      </c>
      <c r="I111">
        <f>IF(数据录入!$B111="","",MAX(0,H111-1))</f>
      </c>
      <c r="J111" s="3">
        <f>IF(OR(数据录入!$B111="",H111=0),"",ROUND(数据录入!$B111*100/H111,2))</f>
      </c>
    </row>
    <row r="112" ht="18.00" customHeight="true">
      <c r="A112">
        <f>IF(数据录入!$B112="","",IF(数据录入!$A112=""," ",数据录入!$A112))</f>
      </c>
      <c r="B112">
        <f>IF(数据录入!$B112="","",数据录入!$B112)</f>
      </c>
      <c r="C112">
        <f>IF(数据录入!$B112="","",COUNT(数据录入!$D112:$AG112))</f>
      </c>
      <c r="D112">
        <f>IF(数据录入!$B112="","",SUM(数据录入!$D112:$AG112))</f>
      </c>
      <c r="E112" s="3">
        <f>IF(OR(数据录入!$B112="",数据录入!$B112=0),"",ROUND(D112/(数据录入!$B112*100)*100,2))</f>
      </c>
      <c r="F112">
        <f>IF(数据录入!$B112="","",IF(ROW()=2,0,SUM(数据录入!$B$2:数据录入!$B111)))</f>
      </c>
      <c r="G112">
        <f>IF(数据录入!$B112="","",F112+数据录入!$B112)</f>
      </c>
      <c r="H112">
        <f>IF(数据录入!$B112="","",C112+IF(数据录入!$C112="",0,数据录入!$C112))</f>
      </c>
      <c r="I112">
        <f>IF(数据录入!$B112="","",MAX(0,H112-1))</f>
      </c>
      <c r="J112" s="3">
        <f>IF(OR(数据录入!$B112="",H112=0),"",ROUND(数据录入!$B112*100/H112,2))</f>
      </c>
    </row>
    <row r="113" ht="18.00" customHeight="true">
      <c r="A113">
        <f>IF(数据录入!$B113="","",IF(数据录入!$A113=""," ",数据录入!$A113))</f>
      </c>
      <c r="B113">
        <f>IF(数据录入!$B113="","",数据录入!$B113)</f>
      </c>
      <c r="C113">
        <f>IF(数据录入!$B113="","",COUNT(数据录入!$D113:$AG113))</f>
      </c>
      <c r="D113">
        <f>IF(数据录入!$B113="","",SUM(数据录入!$D113:$AG113))</f>
      </c>
      <c r="E113" s="3">
        <f>IF(OR(数据录入!$B113="",数据录入!$B113=0),"",ROUND(D113/(数据录入!$B113*100)*100,2))</f>
      </c>
      <c r="F113">
        <f>IF(数据录入!$B113="","",IF(ROW()=2,0,SUM(数据录入!$B$2:数据录入!$B112)))</f>
      </c>
      <c r="G113">
        <f>IF(数据录入!$B113="","",F113+数据录入!$B113)</f>
      </c>
      <c r="H113">
        <f>IF(数据录入!$B113="","",C113+IF(数据录入!$C113="",0,数据录入!$C113))</f>
      </c>
      <c r="I113">
        <f>IF(数据录入!$B113="","",MAX(0,H113-1))</f>
      </c>
      <c r="J113" s="3">
        <f>IF(OR(数据录入!$B113="",H113=0),"",ROUND(数据录入!$B113*100/H113,2))</f>
      </c>
    </row>
    <row r="114" ht="18.00" customHeight="true">
      <c r="A114">
        <f>IF(数据录入!$B114="","",IF(数据录入!$A114=""," ",数据录入!$A114))</f>
      </c>
      <c r="B114">
        <f>IF(数据录入!$B114="","",数据录入!$B114)</f>
      </c>
      <c r="C114">
        <f>IF(数据录入!$B114="","",COUNT(数据录入!$D114:$AG114))</f>
      </c>
      <c r="D114">
        <f>IF(数据录入!$B114="","",SUM(数据录入!$D114:$AG114))</f>
      </c>
      <c r="E114" s="3">
        <f>IF(OR(数据录入!$B114="",数据录入!$B114=0),"",ROUND(D114/(数据录入!$B114*100)*100,2))</f>
      </c>
      <c r="F114">
        <f>IF(数据录入!$B114="","",IF(ROW()=2,0,SUM(数据录入!$B$2:数据录入!$B113)))</f>
      </c>
      <c r="G114">
        <f>IF(数据录入!$B114="","",F114+数据录入!$B114)</f>
      </c>
      <c r="H114">
        <f>IF(数据录入!$B114="","",C114+IF(数据录入!$C114="",0,数据录入!$C114))</f>
      </c>
      <c r="I114">
        <f>IF(数据录入!$B114="","",MAX(0,H114-1))</f>
      </c>
      <c r="J114" s="3">
        <f>IF(OR(数据录入!$B114="",H114=0),"",ROUND(数据录入!$B114*100/H114,2))</f>
      </c>
    </row>
    <row r="115" ht="18.00" customHeight="true">
      <c r="A115">
        <f>IF(数据录入!$B115="","",IF(数据录入!$A115=""," ",数据录入!$A115))</f>
      </c>
      <c r="B115">
        <f>IF(数据录入!$B115="","",数据录入!$B115)</f>
      </c>
      <c r="C115">
        <f>IF(数据录入!$B115="","",COUNT(数据录入!$D115:$AG115))</f>
      </c>
      <c r="D115">
        <f>IF(数据录入!$B115="","",SUM(数据录入!$D115:$AG115))</f>
      </c>
      <c r="E115" s="3">
        <f>IF(OR(数据录入!$B115="",数据录入!$B115=0),"",ROUND(D115/(数据录入!$B115*100)*100,2))</f>
      </c>
      <c r="F115">
        <f>IF(数据录入!$B115="","",IF(ROW()=2,0,SUM(数据录入!$B$2:数据录入!$B114)))</f>
      </c>
      <c r="G115">
        <f>IF(数据录入!$B115="","",F115+数据录入!$B115)</f>
      </c>
      <c r="H115">
        <f>IF(数据录入!$B115="","",C115+IF(数据录入!$C115="",0,数据录入!$C115))</f>
      </c>
      <c r="I115">
        <f>IF(数据录入!$B115="","",MAX(0,H115-1))</f>
      </c>
      <c r="J115" s="3">
        <f>IF(OR(数据录入!$B115="",H115=0),"",ROUND(数据录入!$B115*100/H115,2))</f>
      </c>
    </row>
    <row r="116" ht="18.00" customHeight="true">
      <c r="A116">
        <f>IF(数据录入!$B116="","",IF(数据录入!$A116=""," ",数据录入!$A116))</f>
      </c>
      <c r="B116">
        <f>IF(数据录入!$B116="","",数据录入!$B116)</f>
      </c>
      <c r="C116">
        <f>IF(数据录入!$B116="","",COUNT(数据录入!$D116:$AG116))</f>
      </c>
      <c r="D116">
        <f>IF(数据录入!$B116="","",SUM(数据录入!$D116:$AG116))</f>
      </c>
      <c r="E116" s="3">
        <f>IF(OR(数据录入!$B116="",数据录入!$B116=0),"",ROUND(D116/(数据录入!$B116*100)*100,2))</f>
      </c>
      <c r="F116">
        <f>IF(数据录入!$B116="","",IF(ROW()=2,0,SUM(数据录入!$B$2:数据录入!$B115)))</f>
      </c>
      <c r="G116">
        <f>IF(数据录入!$B116="","",F116+数据录入!$B116)</f>
      </c>
      <c r="H116">
        <f>IF(数据录入!$B116="","",C116+IF(数据录入!$C116="",0,数据录入!$C116))</f>
      </c>
      <c r="I116">
        <f>IF(数据录入!$B116="","",MAX(0,H116-1))</f>
      </c>
      <c r="J116" s="3">
        <f>IF(OR(数据录入!$B116="",H116=0),"",ROUND(数据录入!$B116*100/H116,2))</f>
      </c>
    </row>
    <row r="117" ht="18.00" customHeight="true">
      <c r="A117">
        <f>IF(数据录入!$B117="","",IF(数据录入!$A117=""," ",数据录入!$A117))</f>
      </c>
      <c r="B117">
        <f>IF(数据录入!$B117="","",数据录入!$B117)</f>
      </c>
      <c r="C117">
        <f>IF(数据录入!$B117="","",COUNT(数据录入!$D117:$AG117))</f>
      </c>
      <c r="D117">
        <f>IF(数据录入!$B117="","",SUM(数据录入!$D117:$AG117))</f>
      </c>
      <c r="E117" s="3">
        <f>IF(OR(数据录入!$B117="",数据录入!$B117=0),"",ROUND(D117/(数据录入!$B117*100)*100,2))</f>
      </c>
      <c r="F117">
        <f>IF(数据录入!$B117="","",IF(ROW()=2,0,SUM(数据录入!$B$2:数据录入!$B116)))</f>
      </c>
      <c r="G117">
        <f>IF(数据录入!$B117="","",F117+数据录入!$B117)</f>
      </c>
      <c r="H117">
        <f>IF(数据录入!$B117="","",C117+IF(数据录入!$C117="",0,数据录入!$C117))</f>
      </c>
      <c r="I117">
        <f>IF(数据录入!$B117="","",MAX(0,H117-1))</f>
      </c>
      <c r="J117" s="3">
        <f>IF(OR(数据录入!$B117="",H117=0),"",ROUND(数据录入!$B117*100/H117,2))</f>
      </c>
    </row>
    <row r="118" ht="18.00" customHeight="true">
      <c r="A118">
        <f>IF(数据录入!$B118="","",IF(数据录入!$A118=""," ",数据录入!$A118))</f>
      </c>
      <c r="B118">
        <f>IF(数据录入!$B118="","",数据录入!$B118)</f>
      </c>
      <c r="C118">
        <f>IF(数据录入!$B118="","",COUNT(数据录入!$D118:$AG118))</f>
      </c>
      <c r="D118">
        <f>IF(数据录入!$B118="","",SUM(数据录入!$D118:$AG118))</f>
      </c>
      <c r="E118" s="3">
        <f>IF(OR(数据录入!$B118="",数据录入!$B118=0),"",ROUND(D118/(数据录入!$B118*100)*100,2))</f>
      </c>
      <c r="F118">
        <f>IF(数据录入!$B118="","",IF(ROW()=2,0,SUM(数据录入!$B$2:数据录入!$B117)))</f>
      </c>
      <c r="G118">
        <f>IF(数据录入!$B118="","",F118+数据录入!$B118)</f>
      </c>
      <c r="H118">
        <f>IF(数据录入!$B118="","",C118+IF(数据录入!$C118="",0,数据录入!$C118))</f>
      </c>
      <c r="I118">
        <f>IF(数据录入!$B118="","",MAX(0,H118-1))</f>
      </c>
      <c r="J118" s="3">
        <f>IF(OR(数据录入!$B118="",H118=0),"",ROUND(数据录入!$B118*100/H118,2))</f>
      </c>
    </row>
    <row r="119" ht="18.00" customHeight="true">
      <c r="A119">
        <f>IF(数据录入!$B119="","",IF(数据录入!$A119=""," ",数据录入!$A119))</f>
      </c>
      <c r="B119">
        <f>IF(数据录入!$B119="","",数据录入!$B119)</f>
      </c>
      <c r="C119">
        <f>IF(数据录入!$B119="","",COUNT(数据录入!$D119:$AG119))</f>
      </c>
      <c r="D119">
        <f>IF(数据录入!$B119="","",SUM(数据录入!$D119:$AG119))</f>
      </c>
      <c r="E119" s="3">
        <f>IF(OR(数据录入!$B119="",数据录入!$B119=0),"",ROUND(D119/(数据录入!$B119*100)*100,2))</f>
      </c>
      <c r="F119">
        <f>IF(数据录入!$B119="","",IF(ROW()=2,0,SUM(数据录入!$B$2:数据录入!$B118)))</f>
      </c>
      <c r="G119">
        <f>IF(数据录入!$B119="","",F119+数据录入!$B119)</f>
      </c>
      <c r="H119">
        <f>IF(数据录入!$B119="","",C119+IF(数据录入!$C119="",0,数据录入!$C119))</f>
      </c>
      <c r="I119">
        <f>IF(数据录入!$B119="","",MAX(0,H119-1))</f>
      </c>
      <c r="J119" s="3">
        <f>IF(OR(数据录入!$B119="",H119=0),"",ROUND(数据录入!$B119*100/H119,2))</f>
      </c>
    </row>
    <row r="120" ht="18.00" customHeight="true">
      <c r="A120">
        <f>IF(数据录入!$B120="","",IF(数据录入!$A120=""," ",数据录入!$A120))</f>
      </c>
      <c r="B120">
        <f>IF(数据录入!$B120="","",数据录入!$B120)</f>
      </c>
      <c r="C120">
        <f>IF(数据录入!$B120="","",COUNT(数据录入!$D120:$AG120))</f>
      </c>
      <c r="D120">
        <f>IF(数据录入!$B120="","",SUM(数据录入!$D120:$AG120))</f>
      </c>
      <c r="E120" s="3">
        <f>IF(OR(数据录入!$B120="",数据录入!$B120=0),"",ROUND(D120/(数据录入!$B120*100)*100,2))</f>
      </c>
      <c r="F120">
        <f>IF(数据录入!$B120="","",IF(ROW()=2,0,SUM(数据录入!$B$2:数据录入!$B119)))</f>
      </c>
      <c r="G120">
        <f>IF(数据录入!$B120="","",F120+数据录入!$B120)</f>
      </c>
      <c r="H120">
        <f>IF(数据录入!$B120="","",C120+IF(数据录入!$C120="",0,数据录入!$C120))</f>
      </c>
      <c r="I120">
        <f>IF(数据录入!$B120="","",MAX(0,H120-1))</f>
      </c>
      <c r="J120" s="3">
        <f>IF(OR(数据录入!$B120="",H120=0),"",ROUND(数据录入!$B120*100/H120,2))</f>
      </c>
    </row>
    <row r="121" ht="18.00" customHeight="true">
      <c r="A121">
        <f>IF(数据录入!$B121="","",IF(数据录入!$A121=""," ",数据录入!$A121))</f>
      </c>
      <c r="B121">
        <f>IF(数据录入!$B121="","",数据录入!$B121)</f>
      </c>
      <c r="C121">
        <f>IF(数据录入!$B121="","",COUNT(数据录入!$D121:$AG121))</f>
      </c>
      <c r="D121">
        <f>IF(数据录入!$B121="","",SUM(数据录入!$D121:$AG121))</f>
      </c>
      <c r="E121" s="3">
        <f>IF(OR(数据录入!$B121="",数据录入!$B121=0),"",ROUND(D121/(数据录入!$B121*100)*100,2))</f>
      </c>
      <c r="F121">
        <f>IF(数据录入!$B121="","",IF(ROW()=2,0,SUM(数据录入!$B$2:数据录入!$B120)))</f>
      </c>
      <c r="G121">
        <f>IF(数据录入!$B121="","",F121+数据录入!$B121)</f>
      </c>
      <c r="H121">
        <f>IF(数据录入!$B121="","",C121+IF(数据录入!$C121="",0,数据录入!$C121))</f>
      </c>
      <c r="I121">
        <f>IF(数据录入!$B121="","",MAX(0,H121-1))</f>
      </c>
      <c r="J121" s="3">
        <f>IF(OR(数据录入!$B121="",H121=0),"",ROUND(数据录入!$B121*100/H121,2))</f>
      </c>
    </row>
    <row r="122" ht="18.00" customHeight="true">
      <c r="A122">
        <f>IF(数据录入!$B122="","",IF(数据录入!$A122=""," ",数据录入!$A122))</f>
      </c>
      <c r="B122">
        <f>IF(数据录入!$B122="","",数据录入!$B122)</f>
      </c>
      <c r="C122">
        <f>IF(数据录入!$B122="","",COUNT(数据录入!$D122:$AG122))</f>
      </c>
      <c r="D122">
        <f>IF(数据录入!$B122="","",SUM(数据录入!$D122:$AG122))</f>
      </c>
      <c r="E122" s="3">
        <f>IF(OR(数据录入!$B122="",数据录入!$B122=0),"",ROUND(D122/(数据录入!$B122*100)*100,2))</f>
      </c>
      <c r="F122">
        <f>IF(数据录入!$B122="","",IF(ROW()=2,0,SUM(数据录入!$B$2:数据录入!$B121)))</f>
      </c>
      <c r="G122">
        <f>IF(数据录入!$B122="","",F122+数据录入!$B122)</f>
      </c>
      <c r="H122">
        <f>IF(数据录入!$B122="","",C122+IF(数据录入!$C122="",0,数据录入!$C122))</f>
      </c>
      <c r="I122">
        <f>IF(数据录入!$B122="","",MAX(0,H122-1))</f>
      </c>
      <c r="J122" s="3">
        <f>IF(OR(数据录入!$B122="",H122=0),"",ROUND(数据录入!$B122*100/H122,2))</f>
      </c>
    </row>
    <row r="123" ht="18.00" customHeight="true">
      <c r="A123">
        <f>IF(数据录入!$B123="","",IF(数据录入!$A123=""," ",数据录入!$A123))</f>
      </c>
      <c r="B123">
        <f>IF(数据录入!$B123="","",数据录入!$B123)</f>
      </c>
      <c r="C123">
        <f>IF(数据录入!$B123="","",COUNT(数据录入!$D123:$AG123))</f>
      </c>
      <c r="D123">
        <f>IF(数据录入!$B123="","",SUM(数据录入!$D123:$AG123))</f>
      </c>
      <c r="E123" s="3">
        <f>IF(OR(数据录入!$B123="",数据录入!$B123=0),"",ROUND(D123/(数据录入!$B123*100)*100,2))</f>
      </c>
      <c r="F123">
        <f>IF(数据录入!$B123="","",IF(ROW()=2,0,SUM(数据录入!$B$2:数据录入!$B122)))</f>
      </c>
      <c r="G123">
        <f>IF(数据录入!$B123="","",F123+数据录入!$B123)</f>
      </c>
      <c r="H123">
        <f>IF(数据录入!$B123="","",C123+IF(数据录入!$C123="",0,数据录入!$C123))</f>
      </c>
      <c r="I123">
        <f>IF(数据录入!$B123="","",MAX(0,H123-1))</f>
      </c>
      <c r="J123" s="3">
        <f>IF(OR(数据录入!$B123="",H123=0),"",ROUND(数据录入!$B123*100/H123,2))</f>
      </c>
    </row>
    <row r="124" ht="18.00" customHeight="true">
      <c r="A124">
        <f>IF(数据录入!$B124="","",IF(数据录入!$A124=""," ",数据录入!$A124))</f>
      </c>
      <c r="B124">
        <f>IF(数据录入!$B124="","",数据录入!$B124)</f>
      </c>
      <c r="C124">
        <f>IF(数据录入!$B124="","",COUNT(数据录入!$D124:$AG124))</f>
      </c>
      <c r="D124">
        <f>IF(数据录入!$B124="","",SUM(数据录入!$D124:$AG124))</f>
      </c>
      <c r="E124" s="3">
        <f>IF(OR(数据录入!$B124="",数据录入!$B124=0),"",ROUND(D124/(数据录入!$B124*100)*100,2))</f>
      </c>
      <c r="F124">
        <f>IF(数据录入!$B124="","",IF(ROW()=2,0,SUM(数据录入!$B$2:数据录入!$B123)))</f>
      </c>
      <c r="G124">
        <f>IF(数据录入!$B124="","",F124+数据录入!$B124)</f>
      </c>
      <c r="H124">
        <f>IF(数据录入!$B124="","",C124+IF(数据录入!$C124="",0,数据录入!$C124))</f>
      </c>
      <c r="I124">
        <f>IF(数据录入!$B124="","",MAX(0,H124-1))</f>
      </c>
      <c r="J124" s="3">
        <f>IF(OR(数据录入!$B124="",H124=0),"",ROUND(数据录入!$B124*100/H124,2))</f>
      </c>
    </row>
    <row r="125" ht="18.00" customHeight="true">
      <c r="A125">
        <f>IF(数据录入!$B125="","",IF(数据录入!$A125=""," ",数据录入!$A125))</f>
      </c>
      <c r="B125">
        <f>IF(数据录入!$B125="","",数据录入!$B125)</f>
      </c>
      <c r="C125">
        <f>IF(数据录入!$B125="","",COUNT(数据录入!$D125:$AG125))</f>
      </c>
      <c r="D125">
        <f>IF(数据录入!$B125="","",SUM(数据录入!$D125:$AG125))</f>
      </c>
      <c r="E125" s="3">
        <f>IF(OR(数据录入!$B125="",数据录入!$B125=0),"",ROUND(D125/(数据录入!$B125*100)*100,2))</f>
      </c>
      <c r="F125">
        <f>IF(数据录入!$B125="","",IF(ROW()=2,0,SUM(数据录入!$B$2:数据录入!$B124)))</f>
      </c>
      <c r="G125">
        <f>IF(数据录入!$B125="","",F125+数据录入!$B125)</f>
      </c>
      <c r="H125">
        <f>IF(数据录入!$B125="","",C125+IF(数据录入!$C125="",0,数据录入!$C125))</f>
      </c>
      <c r="I125">
        <f>IF(数据录入!$B125="","",MAX(0,H125-1))</f>
      </c>
      <c r="J125" s="3">
        <f>IF(OR(数据录入!$B125="",H125=0),"",ROUND(数据录入!$B125*100/H125,2))</f>
      </c>
    </row>
    <row r="126" ht="18.00" customHeight="true">
      <c r="A126">
        <f>IF(数据录入!$B126="","",IF(数据录入!$A126=""," ",数据录入!$A126))</f>
      </c>
      <c r="B126">
        <f>IF(数据录入!$B126="","",数据录入!$B126)</f>
      </c>
      <c r="C126">
        <f>IF(数据录入!$B126="","",COUNT(数据录入!$D126:$AG126))</f>
      </c>
      <c r="D126">
        <f>IF(数据录入!$B126="","",SUM(数据录入!$D126:$AG126))</f>
      </c>
      <c r="E126" s="3">
        <f>IF(OR(数据录入!$B126="",数据录入!$B126=0),"",ROUND(D126/(数据录入!$B126*100)*100,2))</f>
      </c>
      <c r="F126">
        <f>IF(数据录入!$B126="","",IF(ROW()=2,0,SUM(数据录入!$B$2:数据录入!$B125)))</f>
      </c>
      <c r="G126">
        <f>IF(数据录入!$B126="","",F126+数据录入!$B126)</f>
      </c>
      <c r="H126">
        <f>IF(数据录入!$B126="","",C126+IF(数据录入!$C126="",0,数据录入!$C126))</f>
      </c>
      <c r="I126">
        <f>IF(数据录入!$B126="","",MAX(0,H126-1))</f>
      </c>
      <c r="J126" s="3">
        <f>IF(OR(数据录入!$B126="",H126=0),"",ROUND(数据录入!$B126*100/H126,2))</f>
      </c>
    </row>
    <row r="127" ht="18.00" customHeight="true">
      <c r="A127">
        <f>IF(数据录入!$B127="","",IF(数据录入!$A127=""," ",数据录入!$A127))</f>
      </c>
      <c r="B127">
        <f>IF(数据录入!$B127="","",数据录入!$B127)</f>
      </c>
      <c r="C127">
        <f>IF(数据录入!$B127="","",COUNT(数据录入!$D127:$AG127))</f>
      </c>
      <c r="D127">
        <f>IF(数据录入!$B127="","",SUM(数据录入!$D127:$AG127))</f>
      </c>
      <c r="E127" s="3">
        <f>IF(OR(数据录入!$B127="",数据录入!$B127=0),"",ROUND(D127/(数据录入!$B127*100)*100,2))</f>
      </c>
      <c r="F127">
        <f>IF(数据录入!$B127="","",IF(ROW()=2,0,SUM(数据录入!$B$2:数据录入!$B126)))</f>
      </c>
      <c r="G127">
        <f>IF(数据录入!$B127="","",F127+数据录入!$B127)</f>
      </c>
      <c r="H127">
        <f>IF(数据录入!$B127="","",C127+IF(数据录入!$C127="",0,数据录入!$C127))</f>
      </c>
      <c r="I127">
        <f>IF(数据录入!$B127="","",MAX(0,H127-1))</f>
      </c>
      <c r="J127" s="3">
        <f>IF(OR(数据录入!$B127="",H127=0),"",ROUND(数据录入!$B127*100/H127,2))</f>
      </c>
    </row>
    <row r="128" ht="18.00" customHeight="true">
      <c r="A128">
        <f>IF(数据录入!$B128="","",IF(数据录入!$A128=""," ",数据录入!$A128))</f>
      </c>
      <c r="B128">
        <f>IF(数据录入!$B128="","",数据录入!$B128)</f>
      </c>
      <c r="C128">
        <f>IF(数据录入!$B128="","",COUNT(数据录入!$D128:$AG128))</f>
      </c>
      <c r="D128">
        <f>IF(数据录入!$B128="","",SUM(数据录入!$D128:$AG128))</f>
      </c>
      <c r="E128" s="3">
        <f>IF(OR(数据录入!$B128="",数据录入!$B128=0),"",ROUND(D128/(数据录入!$B128*100)*100,2))</f>
      </c>
      <c r="F128">
        <f>IF(数据录入!$B128="","",IF(ROW()=2,0,SUM(数据录入!$B$2:数据录入!$B127)))</f>
      </c>
      <c r="G128">
        <f>IF(数据录入!$B128="","",F128+数据录入!$B128)</f>
      </c>
      <c r="H128">
        <f>IF(数据录入!$B128="","",C128+IF(数据录入!$C128="",0,数据录入!$C128))</f>
      </c>
      <c r="I128">
        <f>IF(数据录入!$B128="","",MAX(0,H128-1))</f>
      </c>
      <c r="J128" s="3">
        <f>IF(OR(数据录入!$B128="",H128=0),"",ROUND(数据录入!$B128*100/H128,2))</f>
      </c>
    </row>
    <row r="129" ht="18.00" customHeight="true">
      <c r="A129">
        <f>IF(数据录入!$B129="","",IF(数据录入!$A129=""," ",数据录入!$A129))</f>
      </c>
      <c r="B129">
        <f>IF(数据录入!$B129="","",数据录入!$B129)</f>
      </c>
      <c r="C129">
        <f>IF(数据录入!$B129="","",COUNT(数据录入!$D129:$AG129))</f>
      </c>
      <c r="D129">
        <f>IF(数据录入!$B129="","",SUM(数据录入!$D129:$AG129))</f>
      </c>
      <c r="E129" s="3">
        <f>IF(OR(数据录入!$B129="",数据录入!$B129=0),"",ROUND(D129/(数据录入!$B129*100)*100,2))</f>
      </c>
      <c r="F129">
        <f>IF(数据录入!$B129="","",IF(ROW()=2,0,SUM(数据录入!$B$2:数据录入!$B128)))</f>
      </c>
      <c r="G129">
        <f>IF(数据录入!$B129="","",F129+数据录入!$B129)</f>
      </c>
      <c r="H129">
        <f>IF(数据录入!$B129="","",C129+IF(数据录入!$C129="",0,数据录入!$C129))</f>
      </c>
      <c r="I129">
        <f>IF(数据录入!$B129="","",MAX(0,H129-1))</f>
      </c>
      <c r="J129" s="3">
        <f>IF(OR(数据录入!$B129="",H129=0),"",ROUND(数据录入!$B129*100/H129,2))</f>
      </c>
    </row>
    <row r="130" ht="18.00" customHeight="true">
      <c r="A130">
        <f>IF(数据录入!$B130="","",IF(数据录入!$A130=""," ",数据录入!$A130))</f>
      </c>
      <c r="B130">
        <f>IF(数据录入!$B130="","",数据录入!$B130)</f>
      </c>
      <c r="C130">
        <f>IF(数据录入!$B130="","",COUNT(数据录入!$D130:$AG130))</f>
      </c>
      <c r="D130">
        <f>IF(数据录入!$B130="","",SUM(数据录入!$D130:$AG130))</f>
      </c>
      <c r="E130" s="3">
        <f>IF(OR(数据录入!$B130="",数据录入!$B130=0),"",ROUND(D130/(数据录入!$B130*100)*100,2))</f>
      </c>
      <c r="F130">
        <f>IF(数据录入!$B130="","",IF(ROW()=2,0,SUM(数据录入!$B$2:数据录入!$B129)))</f>
      </c>
      <c r="G130">
        <f>IF(数据录入!$B130="","",F130+数据录入!$B130)</f>
      </c>
      <c r="H130">
        <f>IF(数据录入!$B130="","",C130+IF(数据录入!$C130="",0,数据录入!$C130))</f>
      </c>
      <c r="I130">
        <f>IF(数据录入!$B130="","",MAX(0,H130-1))</f>
      </c>
      <c r="J130" s="3">
        <f>IF(OR(数据录入!$B130="",H130=0),"",ROUND(数据录入!$B130*100/H130,2))</f>
      </c>
    </row>
    <row r="131" ht="18.00" customHeight="true">
      <c r="A131">
        <f>IF(数据录入!$B131="","",IF(数据录入!$A131=""," ",数据录入!$A131))</f>
      </c>
      <c r="B131">
        <f>IF(数据录入!$B131="","",数据录入!$B131)</f>
      </c>
      <c r="C131">
        <f>IF(数据录入!$B131="","",COUNT(数据录入!$D131:$AG131))</f>
      </c>
      <c r="D131">
        <f>IF(数据录入!$B131="","",SUM(数据录入!$D131:$AG131))</f>
      </c>
      <c r="E131" s="3">
        <f>IF(OR(数据录入!$B131="",数据录入!$B131=0),"",ROUND(D131/(数据录入!$B131*100)*100,2))</f>
      </c>
      <c r="F131">
        <f>IF(数据录入!$B131="","",IF(ROW()=2,0,SUM(数据录入!$B$2:数据录入!$B130)))</f>
      </c>
      <c r="G131">
        <f>IF(数据录入!$B131="","",F131+数据录入!$B131)</f>
      </c>
      <c r="H131">
        <f>IF(数据录入!$B131="","",C131+IF(数据录入!$C131="",0,数据录入!$C131))</f>
      </c>
      <c r="I131">
        <f>IF(数据录入!$B131="","",MAX(0,H131-1))</f>
      </c>
      <c r="J131" s="3">
        <f>IF(OR(数据录入!$B131="",H131=0),"",ROUND(数据录入!$B131*100/H131,2))</f>
      </c>
    </row>
    <row r="132" ht="18.00" customHeight="true">
      <c r="A132">
        <f>IF(数据录入!$B132="","",IF(数据录入!$A132=""," ",数据录入!$A132))</f>
      </c>
      <c r="B132">
        <f>IF(数据录入!$B132="","",数据录入!$B132)</f>
      </c>
      <c r="C132">
        <f>IF(数据录入!$B132="","",COUNT(数据录入!$D132:$AG132))</f>
      </c>
      <c r="D132">
        <f>IF(数据录入!$B132="","",SUM(数据录入!$D132:$AG132))</f>
      </c>
      <c r="E132" s="3">
        <f>IF(OR(数据录入!$B132="",数据录入!$B132=0),"",ROUND(D132/(数据录入!$B132*100)*100,2))</f>
      </c>
      <c r="F132">
        <f>IF(数据录入!$B132="","",IF(ROW()=2,0,SUM(数据录入!$B$2:数据录入!$B131)))</f>
      </c>
      <c r="G132">
        <f>IF(数据录入!$B132="","",F132+数据录入!$B132)</f>
      </c>
      <c r="H132">
        <f>IF(数据录入!$B132="","",C132+IF(数据录入!$C132="",0,数据录入!$C132))</f>
      </c>
      <c r="I132">
        <f>IF(数据录入!$B132="","",MAX(0,H132-1))</f>
      </c>
      <c r="J132" s="3">
        <f>IF(OR(数据录入!$B132="",H132=0),"",ROUND(数据录入!$B132*100/H132,2))</f>
      </c>
    </row>
    <row r="133" ht="18.00" customHeight="true">
      <c r="A133">
        <f>IF(数据录入!$B133="","",IF(数据录入!$A133=""," ",数据录入!$A133))</f>
      </c>
      <c r="B133">
        <f>IF(数据录入!$B133="","",数据录入!$B133)</f>
      </c>
      <c r="C133">
        <f>IF(数据录入!$B133="","",COUNT(数据录入!$D133:$AG133))</f>
      </c>
      <c r="D133">
        <f>IF(数据录入!$B133="","",SUM(数据录入!$D133:$AG133))</f>
      </c>
      <c r="E133" s="3">
        <f>IF(OR(数据录入!$B133="",数据录入!$B133=0),"",ROUND(D133/(数据录入!$B133*100)*100,2))</f>
      </c>
      <c r="F133">
        <f>IF(数据录入!$B133="","",IF(ROW()=2,0,SUM(数据录入!$B$2:数据录入!$B132)))</f>
      </c>
      <c r="G133">
        <f>IF(数据录入!$B133="","",F133+数据录入!$B133)</f>
      </c>
      <c r="H133">
        <f>IF(数据录入!$B133="","",C133+IF(数据录入!$C133="",0,数据录入!$C133))</f>
      </c>
      <c r="I133">
        <f>IF(数据录入!$B133="","",MAX(0,H133-1))</f>
      </c>
      <c r="J133" s="3">
        <f>IF(OR(数据录入!$B133="",H133=0),"",ROUND(数据录入!$B133*100/H133,2))</f>
      </c>
    </row>
    <row r="134" ht="18.00" customHeight="true">
      <c r="A134">
        <f>IF(数据录入!$B134="","",IF(数据录入!$A134=""," ",数据录入!$A134))</f>
      </c>
      <c r="B134">
        <f>IF(数据录入!$B134="","",数据录入!$B134)</f>
      </c>
      <c r="C134">
        <f>IF(数据录入!$B134="","",COUNT(数据录入!$D134:$AG134))</f>
      </c>
      <c r="D134">
        <f>IF(数据录入!$B134="","",SUM(数据录入!$D134:$AG134))</f>
      </c>
      <c r="E134" s="3">
        <f>IF(OR(数据录入!$B134="",数据录入!$B134=0),"",ROUND(D134/(数据录入!$B134*100)*100,2))</f>
      </c>
      <c r="F134">
        <f>IF(数据录入!$B134="","",IF(ROW()=2,0,SUM(数据录入!$B$2:数据录入!$B133)))</f>
      </c>
      <c r="G134">
        <f>IF(数据录入!$B134="","",F134+数据录入!$B134)</f>
      </c>
      <c r="H134">
        <f>IF(数据录入!$B134="","",C134+IF(数据录入!$C134="",0,数据录入!$C134))</f>
      </c>
      <c r="I134">
        <f>IF(数据录入!$B134="","",MAX(0,H134-1))</f>
      </c>
      <c r="J134" s="3">
        <f>IF(OR(数据录入!$B134="",H134=0),"",ROUND(数据录入!$B134*100/H134,2))</f>
      </c>
    </row>
    <row r="135" ht="18.00" customHeight="true">
      <c r="A135">
        <f>IF(数据录入!$B135="","",IF(数据录入!$A135=""," ",数据录入!$A135))</f>
      </c>
      <c r="B135">
        <f>IF(数据录入!$B135="","",数据录入!$B135)</f>
      </c>
      <c r="C135">
        <f>IF(数据录入!$B135="","",COUNT(数据录入!$D135:$AG135))</f>
      </c>
      <c r="D135">
        <f>IF(数据录入!$B135="","",SUM(数据录入!$D135:$AG135))</f>
      </c>
      <c r="E135" s="3">
        <f>IF(OR(数据录入!$B135="",数据录入!$B135=0),"",ROUND(D135/(数据录入!$B135*100)*100,2))</f>
      </c>
      <c r="F135">
        <f>IF(数据录入!$B135="","",IF(ROW()=2,0,SUM(数据录入!$B$2:数据录入!$B134)))</f>
      </c>
      <c r="G135">
        <f>IF(数据录入!$B135="","",F135+数据录入!$B135)</f>
      </c>
      <c r="H135">
        <f>IF(数据录入!$B135="","",C135+IF(数据录入!$C135="",0,数据录入!$C135))</f>
      </c>
      <c r="I135">
        <f>IF(数据录入!$B135="","",MAX(0,H135-1))</f>
      </c>
      <c r="J135" s="3">
        <f>IF(OR(数据录入!$B135="",H135=0),"",ROUND(数据录入!$B135*100/H135,2))</f>
      </c>
    </row>
    <row r="136" ht="18.00" customHeight="true">
      <c r="A136">
        <f>IF(数据录入!$B136="","",IF(数据录入!$A136=""," ",数据录入!$A136))</f>
      </c>
      <c r="B136">
        <f>IF(数据录入!$B136="","",数据录入!$B136)</f>
      </c>
      <c r="C136">
        <f>IF(数据录入!$B136="","",COUNT(数据录入!$D136:$AG136))</f>
      </c>
      <c r="D136">
        <f>IF(数据录入!$B136="","",SUM(数据录入!$D136:$AG136))</f>
      </c>
      <c r="E136" s="3">
        <f>IF(OR(数据录入!$B136="",数据录入!$B136=0),"",ROUND(D136/(数据录入!$B136*100)*100,2))</f>
      </c>
      <c r="F136">
        <f>IF(数据录入!$B136="","",IF(ROW()=2,0,SUM(数据录入!$B$2:数据录入!$B135)))</f>
      </c>
      <c r="G136">
        <f>IF(数据录入!$B136="","",F136+数据录入!$B136)</f>
      </c>
      <c r="H136">
        <f>IF(数据录入!$B136="","",C136+IF(数据录入!$C136="",0,数据录入!$C136))</f>
      </c>
      <c r="I136">
        <f>IF(数据录入!$B136="","",MAX(0,H136-1))</f>
      </c>
      <c r="J136" s="3">
        <f>IF(OR(数据录入!$B136="",H136=0),"",ROUND(数据录入!$B136*100/H136,2))</f>
      </c>
    </row>
    <row r="137" ht="18.00" customHeight="true">
      <c r="A137">
        <f>IF(数据录入!$B137="","",IF(数据录入!$A137=""," ",数据录入!$A137))</f>
      </c>
      <c r="B137">
        <f>IF(数据录入!$B137="","",数据录入!$B137)</f>
      </c>
      <c r="C137">
        <f>IF(数据录入!$B137="","",COUNT(数据录入!$D137:$AG137))</f>
      </c>
      <c r="D137">
        <f>IF(数据录入!$B137="","",SUM(数据录入!$D137:$AG137))</f>
      </c>
      <c r="E137" s="3">
        <f>IF(OR(数据录入!$B137="",数据录入!$B137=0),"",ROUND(D137/(数据录入!$B137*100)*100,2))</f>
      </c>
      <c r="F137">
        <f>IF(数据录入!$B137="","",IF(ROW()=2,0,SUM(数据录入!$B$2:数据录入!$B136)))</f>
      </c>
      <c r="G137">
        <f>IF(数据录入!$B137="","",F137+数据录入!$B137)</f>
      </c>
      <c r="H137">
        <f>IF(数据录入!$B137="","",C137+IF(数据录入!$C137="",0,数据录入!$C137))</f>
      </c>
      <c r="I137">
        <f>IF(数据录入!$B137="","",MAX(0,H137-1))</f>
      </c>
      <c r="J137" s="3">
        <f>IF(OR(数据录入!$B137="",H137=0),"",ROUND(数据录入!$B137*100/H137,2))</f>
      </c>
    </row>
    <row r="138" ht="18.00" customHeight="true">
      <c r="A138">
        <f>IF(数据录入!$B138="","",IF(数据录入!$A138=""," ",数据录入!$A138))</f>
      </c>
      <c r="B138">
        <f>IF(数据录入!$B138="","",数据录入!$B138)</f>
      </c>
      <c r="C138">
        <f>IF(数据录入!$B138="","",COUNT(数据录入!$D138:$AG138))</f>
      </c>
      <c r="D138">
        <f>IF(数据录入!$B138="","",SUM(数据录入!$D138:$AG138))</f>
      </c>
      <c r="E138" s="3">
        <f>IF(OR(数据录入!$B138="",数据录入!$B138=0),"",ROUND(D138/(数据录入!$B138*100)*100,2))</f>
      </c>
      <c r="F138">
        <f>IF(数据录入!$B138="","",IF(ROW()=2,0,SUM(数据录入!$B$2:数据录入!$B137)))</f>
      </c>
      <c r="G138">
        <f>IF(数据录入!$B138="","",F138+数据录入!$B138)</f>
      </c>
      <c r="H138">
        <f>IF(数据录入!$B138="","",C138+IF(数据录入!$C138="",0,数据录入!$C138))</f>
      </c>
      <c r="I138">
        <f>IF(数据录入!$B138="","",MAX(0,H138-1))</f>
      </c>
      <c r="J138" s="3">
        <f>IF(OR(数据录入!$B138="",H138=0),"",ROUND(数据录入!$B138*100/H138,2))</f>
      </c>
    </row>
    <row r="139" ht="18.00" customHeight="true">
      <c r="A139">
        <f>IF(数据录入!$B139="","",IF(数据录入!$A139=""," ",数据录入!$A139))</f>
      </c>
      <c r="B139">
        <f>IF(数据录入!$B139="","",数据录入!$B139)</f>
      </c>
      <c r="C139">
        <f>IF(数据录入!$B139="","",COUNT(数据录入!$D139:$AG139))</f>
      </c>
      <c r="D139">
        <f>IF(数据录入!$B139="","",SUM(数据录入!$D139:$AG139))</f>
      </c>
      <c r="E139" s="3">
        <f>IF(OR(数据录入!$B139="",数据录入!$B139=0),"",ROUND(D139/(数据录入!$B139*100)*100,2))</f>
      </c>
      <c r="F139">
        <f>IF(数据录入!$B139="","",IF(ROW()=2,0,SUM(数据录入!$B$2:数据录入!$B138)))</f>
      </c>
      <c r="G139">
        <f>IF(数据录入!$B139="","",F139+数据录入!$B139)</f>
      </c>
      <c r="H139">
        <f>IF(数据录入!$B139="","",C139+IF(数据录入!$C139="",0,数据录入!$C139))</f>
      </c>
      <c r="I139">
        <f>IF(数据录入!$B139="","",MAX(0,H139-1))</f>
      </c>
      <c r="J139" s="3">
        <f>IF(OR(数据录入!$B139="",H139=0),"",ROUND(数据录入!$B139*100/H139,2))</f>
      </c>
    </row>
    <row r="140" ht="18.00" customHeight="true">
      <c r="A140">
        <f>IF(数据录入!$B140="","",IF(数据录入!$A140=""," ",数据录入!$A140))</f>
      </c>
      <c r="B140">
        <f>IF(数据录入!$B140="","",数据录入!$B140)</f>
      </c>
      <c r="C140">
        <f>IF(数据录入!$B140="","",COUNT(数据录入!$D140:$AG140))</f>
      </c>
      <c r="D140">
        <f>IF(数据录入!$B140="","",SUM(数据录入!$D140:$AG140))</f>
      </c>
      <c r="E140" s="3">
        <f>IF(OR(数据录入!$B140="",数据录入!$B140=0),"",ROUND(D140/(数据录入!$B140*100)*100,2))</f>
      </c>
      <c r="F140">
        <f>IF(数据录入!$B140="","",IF(ROW()=2,0,SUM(数据录入!$B$2:数据录入!$B139)))</f>
      </c>
      <c r="G140">
        <f>IF(数据录入!$B140="","",F140+数据录入!$B140)</f>
      </c>
      <c r="H140">
        <f>IF(数据录入!$B140="","",C140+IF(数据录入!$C140="",0,数据录入!$C140))</f>
      </c>
      <c r="I140">
        <f>IF(数据录入!$B140="","",MAX(0,H140-1))</f>
      </c>
      <c r="J140" s="3">
        <f>IF(OR(数据录入!$B140="",H140=0),"",ROUND(数据录入!$B140*100/H140,2))</f>
      </c>
    </row>
    <row r="141" ht="18.00" customHeight="true">
      <c r="A141">
        <f>IF(数据录入!$B141="","",IF(数据录入!$A141=""," ",数据录入!$A141))</f>
      </c>
      <c r="B141">
        <f>IF(数据录入!$B141="","",数据录入!$B141)</f>
      </c>
      <c r="C141">
        <f>IF(数据录入!$B141="","",COUNT(数据录入!$D141:$AG141))</f>
      </c>
      <c r="D141">
        <f>IF(数据录入!$B141="","",SUM(数据录入!$D141:$AG141))</f>
      </c>
      <c r="E141" s="3">
        <f>IF(OR(数据录入!$B141="",数据录入!$B141=0),"",ROUND(D141/(数据录入!$B141*100)*100,2))</f>
      </c>
      <c r="F141">
        <f>IF(数据录入!$B141="","",IF(ROW()=2,0,SUM(数据录入!$B$2:数据录入!$B140)))</f>
      </c>
      <c r="G141">
        <f>IF(数据录入!$B141="","",F141+数据录入!$B141)</f>
      </c>
      <c r="H141">
        <f>IF(数据录入!$B141="","",C141+IF(数据录入!$C141="",0,数据录入!$C141))</f>
      </c>
      <c r="I141">
        <f>IF(数据录入!$B141="","",MAX(0,H141-1))</f>
      </c>
      <c r="J141" s="3">
        <f>IF(OR(数据录入!$B141="",H141=0),"",ROUND(数据录入!$B141*100/H141,2))</f>
      </c>
    </row>
    <row r="142" ht="18.00" customHeight="true">
      <c r="A142">
        <f>IF(数据录入!$B142="","",IF(数据录入!$A142=""," ",数据录入!$A142))</f>
      </c>
      <c r="B142">
        <f>IF(数据录入!$B142="","",数据录入!$B142)</f>
      </c>
      <c r="C142">
        <f>IF(数据录入!$B142="","",COUNT(数据录入!$D142:$AG142))</f>
      </c>
      <c r="D142">
        <f>IF(数据录入!$B142="","",SUM(数据录入!$D142:$AG142))</f>
      </c>
      <c r="E142" s="3">
        <f>IF(OR(数据录入!$B142="",数据录入!$B142=0),"",ROUND(D142/(数据录入!$B142*100)*100,2))</f>
      </c>
      <c r="F142">
        <f>IF(数据录入!$B142="","",IF(ROW()=2,0,SUM(数据录入!$B$2:数据录入!$B141)))</f>
      </c>
      <c r="G142">
        <f>IF(数据录入!$B142="","",F142+数据录入!$B142)</f>
      </c>
      <c r="H142">
        <f>IF(数据录入!$B142="","",C142+IF(数据录入!$C142="",0,数据录入!$C142))</f>
      </c>
      <c r="I142">
        <f>IF(数据录入!$B142="","",MAX(0,H142-1))</f>
      </c>
      <c r="J142" s="3">
        <f>IF(OR(数据录入!$B142="",H142=0),"",ROUND(数据录入!$B142*100/H142,2))</f>
      </c>
    </row>
    <row r="143" ht="18.00" customHeight="true">
      <c r="A143">
        <f>IF(数据录入!$B143="","",IF(数据录入!$A143=""," ",数据录入!$A143))</f>
      </c>
      <c r="B143">
        <f>IF(数据录入!$B143="","",数据录入!$B143)</f>
      </c>
      <c r="C143">
        <f>IF(数据录入!$B143="","",COUNT(数据录入!$D143:$AG143))</f>
      </c>
      <c r="D143">
        <f>IF(数据录入!$B143="","",SUM(数据录入!$D143:$AG143))</f>
      </c>
      <c r="E143" s="3">
        <f>IF(OR(数据录入!$B143="",数据录入!$B143=0),"",ROUND(D143/(数据录入!$B143*100)*100,2))</f>
      </c>
      <c r="F143">
        <f>IF(数据录入!$B143="","",IF(ROW()=2,0,SUM(数据录入!$B$2:数据录入!$B142)))</f>
      </c>
      <c r="G143">
        <f>IF(数据录入!$B143="","",F143+数据录入!$B143)</f>
      </c>
      <c r="H143">
        <f>IF(数据录入!$B143="","",C143+IF(数据录入!$C143="",0,数据录入!$C143))</f>
      </c>
      <c r="I143">
        <f>IF(数据录入!$B143="","",MAX(0,H143-1))</f>
      </c>
      <c r="J143" s="3">
        <f>IF(OR(数据录入!$B143="",H143=0),"",ROUND(数据录入!$B143*100/H143,2))</f>
      </c>
    </row>
    <row r="144" ht="18.00" customHeight="true">
      <c r="A144">
        <f>IF(数据录入!$B144="","",IF(数据录入!$A144=""," ",数据录入!$A144))</f>
      </c>
      <c r="B144">
        <f>IF(数据录入!$B144="","",数据录入!$B144)</f>
      </c>
      <c r="C144">
        <f>IF(数据录入!$B144="","",COUNT(数据录入!$D144:$AG144))</f>
      </c>
      <c r="D144">
        <f>IF(数据录入!$B144="","",SUM(数据录入!$D144:$AG144))</f>
      </c>
      <c r="E144" s="3">
        <f>IF(OR(数据录入!$B144="",数据录入!$B144=0),"",ROUND(D144/(数据录入!$B144*100)*100,2))</f>
      </c>
      <c r="F144">
        <f>IF(数据录入!$B144="","",IF(ROW()=2,0,SUM(数据录入!$B$2:数据录入!$B143)))</f>
      </c>
      <c r="G144">
        <f>IF(数据录入!$B144="","",F144+数据录入!$B144)</f>
      </c>
      <c r="H144">
        <f>IF(数据录入!$B144="","",C144+IF(数据录入!$C144="",0,数据录入!$C144))</f>
      </c>
      <c r="I144">
        <f>IF(数据录入!$B144="","",MAX(0,H144-1))</f>
      </c>
      <c r="J144" s="3">
        <f>IF(OR(数据录入!$B144="",H144=0),"",ROUND(数据录入!$B144*100/H144,2))</f>
      </c>
    </row>
    <row r="145" ht="18.00" customHeight="true">
      <c r="A145">
        <f>IF(数据录入!$B145="","",IF(数据录入!$A145=""," ",数据录入!$A145))</f>
      </c>
      <c r="B145">
        <f>IF(数据录入!$B145="","",数据录入!$B145)</f>
      </c>
      <c r="C145">
        <f>IF(数据录入!$B145="","",COUNT(数据录入!$D145:$AG145))</f>
      </c>
      <c r="D145">
        <f>IF(数据录入!$B145="","",SUM(数据录入!$D145:$AG145))</f>
      </c>
      <c r="E145" s="3">
        <f>IF(OR(数据录入!$B145="",数据录入!$B145=0),"",ROUND(D145/(数据录入!$B145*100)*100,2))</f>
      </c>
      <c r="F145">
        <f>IF(数据录入!$B145="","",IF(ROW()=2,0,SUM(数据录入!$B$2:数据录入!$B144)))</f>
      </c>
      <c r="G145">
        <f>IF(数据录入!$B145="","",F145+数据录入!$B145)</f>
      </c>
      <c r="H145">
        <f>IF(数据录入!$B145="","",C145+IF(数据录入!$C145="",0,数据录入!$C145))</f>
      </c>
      <c r="I145">
        <f>IF(数据录入!$B145="","",MAX(0,H145-1))</f>
      </c>
      <c r="J145" s="3">
        <f>IF(OR(数据录入!$B145="",H145=0),"",ROUND(数据录入!$B145*100/H145,2))</f>
      </c>
    </row>
    <row r="146" ht="18.00" customHeight="true">
      <c r="A146">
        <f>IF(数据录入!$B146="","",IF(数据录入!$A146=""," ",数据录入!$A146))</f>
      </c>
      <c r="B146">
        <f>IF(数据录入!$B146="","",数据录入!$B146)</f>
      </c>
      <c r="C146">
        <f>IF(数据录入!$B146="","",COUNT(数据录入!$D146:$AG146))</f>
      </c>
      <c r="D146">
        <f>IF(数据录入!$B146="","",SUM(数据录入!$D146:$AG146))</f>
      </c>
      <c r="E146" s="3">
        <f>IF(OR(数据录入!$B146="",数据录入!$B146=0),"",ROUND(D146/(数据录入!$B146*100)*100,2))</f>
      </c>
      <c r="F146">
        <f>IF(数据录入!$B146="","",IF(ROW()=2,0,SUM(数据录入!$B$2:数据录入!$B145)))</f>
      </c>
      <c r="G146">
        <f>IF(数据录入!$B146="","",F146+数据录入!$B146)</f>
      </c>
      <c r="H146">
        <f>IF(数据录入!$B146="","",C146+IF(数据录入!$C146="",0,数据录入!$C146))</f>
      </c>
      <c r="I146">
        <f>IF(数据录入!$B146="","",MAX(0,H146-1))</f>
      </c>
      <c r="J146" s="3">
        <f>IF(OR(数据录入!$B146="",H146=0),"",ROUND(数据录入!$B146*100/H146,2))</f>
      </c>
    </row>
    <row r="147" ht="18.00" customHeight="true">
      <c r="A147">
        <f>IF(数据录入!$B147="","",IF(数据录入!$A147=""," ",数据录入!$A147))</f>
      </c>
      <c r="B147">
        <f>IF(数据录入!$B147="","",数据录入!$B147)</f>
      </c>
      <c r="C147">
        <f>IF(数据录入!$B147="","",COUNT(数据录入!$D147:$AG147))</f>
      </c>
      <c r="D147">
        <f>IF(数据录入!$B147="","",SUM(数据录入!$D147:$AG147))</f>
      </c>
      <c r="E147" s="3">
        <f>IF(OR(数据录入!$B147="",数据录入!$B147=0),"",ROUND(D147/(数据录入!$B147*100)*100,2))</f>
      </c>
      <c r="F147">
        <f>IF(数据录入!$B147="","",IF(ROW()=2,0,SUM(数据录入!$B$2:数据录入!$B146)))</f>
      </c>
      <c r="G147">
        <f>IF(数据录入!$B147="","",F147+数据录入!$B147)</f>
      </c>
      <c r="H147">
        <f>IF(数据录入!$B147="","",C147+IF(数据录入!$C147="",0,数据录入!$C147))</f>
      </c>
      <c r="I147">
        <f>IF(数据录入!$B147="","",MAX(0,H147-1))</f>
      </c>
      <c r="J147" s="3">
        <f>IF(OR(数据录入!$B147="",H147=0),"",ROUND(数据录入!$B147*100/H147,2))</f>
      </c>
    </row>
    <row r="148" ht="18.00" customHeight="true">
      <c r="A148">
        <f>IF(数据录入!$B148="","",IF(数据录入!$A148=""," ",数据录入!$A148))</f>
      </c>
      <c r="B148">
        <f>IF(数据录入!$B148="","",数据录入!$B148)</f>
      </c>
      <c r="C148">
        <f>IF(数据录入!$B148="","",COUNT(数据录入!$D148:$AG148))</f>
      </c>
      <c r="D148">
        <f>IF(数据录入!$B148="","",SUM(数据录入!$D148:$AG148))</f>
      </c>
      <c r="E148" s="3">
        <f>IF(OR(数据录入!$B148="",数据录入!$B148=0),"",ROUND(D148/(数据录入!$B148*100)*100,2))</f>
      </c>
      <c r="F148">
        <f>IF(数据录入!$B148="","",IF(ROW()=2,0,SUM(数据录入!$B$2:数据录入!$B147)))</f>
      </c>
      <c r="G148">
        <f>IF(数据录入!$B148="","",F148+数据录入!$B148)</f>
      </c>
      <c r="H148">
        <f>IF(数据录入!$B148="","",C148+IF(数据录入!$C148="",0,数据录入!$C148))</f>
      </c>
      <c r="I148">
        <f>IF(数据录入!$B148="","",MAX(0,H148-1))</f>
      </c>
      <c r="J148" s="3">
        <f>IF(OR(数据录入!$B148="",H148=0),"",ROUND(数据录入!$B148*100/H148,2))</f>
      </c>
    </row>
    <row r="149" ht="18.00" customHeight="true">
      <c r="A149">
        <f>IF(数据录入!$B149="","",IF(数据录入!$A149=""," ",数据录入!$A149))</f>
      </c>
      <c r="B149">
        <f>IF(数据录入!$B149="","",数据录入!$B149)</f>
      </c>
      <c r="C149">
        <f>IF(数据录入!$B149="","",COUNT(数据录入!$D149:$AG149))</f>
      </c>
      <c r="D149">
        <f>IF(数据录入!$B149="","",SUM(数据录入!$D149:$AG149))</f>
      </c>
      <c r="E149" s="3">
        <f>IF(OR(数据录入!$B149="",数据录入!$B149=0),"",ROUND(D149/(数据录入!$B149*100)*100,2))</f>
      </c>
      <c r="F149">
        <f>IF(数据录入!$B149="","",IF(ROW()=2,0,SUM(数据录入!$B$2:数据录入!$B148)))</f>
      </c>
      <c r="G149">
        <f>IF(数据录入!$B149="","",F149+数据录入!$B149)</f>
      </c>
      <c r="H149">
        <f>IF(数据录入!$B149="","",C149+IF(数据录入!$C149="",0,数据录入!$C149))</f>
      </c>
      <c r="I149">
        <f>IF(数据录入!$B149="","",MAX(0,H149-1))</f>
      </c>
      <c r="J149" s="3">
        <f>IF(OR(数据录入!$B149="",H149=0),"",ROUND(数据录入!$B149*100/H149,2))</f>
      </c>
    </row>
    <row r="150" ht="18.00" customHeight="true">
      <c r="A150">
        <f>IF(数据录入!$B150="","",IF(数据录入!$A150=""," ",数据录入!$A150))</f>
      </c>
      <c r="B150">
        <f>IF(数据录入!$B150="","",数据录入!$B150)</f>
      </c>
      <c r="C150">
        <f>IF(数据录入!$B150="","",COUNT(数据录入!$D150:$AG150))</f>
      </c>
      <c r="D150">
        <f>IF(数据录入!$B150="","",SUM(数据录入!$D150:$AG150))</f>
      </c>
      <c r="E150" s="3">
        <f>IF(OR(数据录入!$B150="",数据录入!$B150=0),"",ROUND(D150/(数据录入!$B150*100)*100,2))</f>
      </c>
      <c r="F150">
        <f>IF(数据录入!$B150="","",IF(ROW()=2,0,SUM(数据录入!$B$2:数据录入!$B149)))</f>
      </c>
      <c r="G150">
        <f>IF(数据录入!$B150="","",F150+数据录入!$B150)</f>
      </c>
      <c r="H150">
        <f>IF(数据录入!$B150="","",C150+IF(数据录入!$C150="",0,数据录入!$C150))</f>
      </c>
      <c r="I150">
        <f>IF(数据录入!$B150="","",MAX(0,H150-1))</f>
      </c>
      <c r="J150" s="3">
        <f>IF(OR(数据录入!$B150="",H150=0),"",ROUND(数据录入!$B150*100/H150,2))</f>
      </c>
    </row>
    <row r="151" ht="18.00" customHeight="true">
      <c r="A151">
        <f>IF(数据录入!$B151="","",IF(数据录入!$A151=""," ",数据录入!$A151))</f>
      </c>
      <c r="B151">
        <f>IF(数据录入!$B151="","",数据录入!$B151)</f>
      </c>
      <c r="C151">
        <f>IF(数据录入!$B151="","",COUNT(数据录入!$D151:$AG151))</f>
      </c>
      <c r="D151">
        <f>IF(数据录入!$B151="","",SUM(数据录入!$D151:$AG151))</f>
      </c>
      <c r="E151" s="3">
        <f>IF(OR(数据录入!$B151="",数据录入!$B151=0),"",ROUND(D151/(数据录入!$B151*100)*100,2))</f>
      </c>
      <c r="F151">
        <f>IF(数据录入!$B151="","",IF(ROW()=2,0,SUM(数据录入!$B$2:数据录入!$B150)))</f>
      </c>
      <c r="G151">
        <f>IF(数据录入!$B151="","",F151+数据录入!$B151)</f>
      </c>
      <c r="H151">
        <f>IF(数据录入!$B151="","",C151+IF(数据录入!$C151="",0,数据录入!$C151))</f>
      </c>
      <c r="I151">
        <f>IF(数据录入!$B151="","",MAX(0,H151-1))</f>
      </c>
      <c r="J151" s="3">
        <f>IF(OR(数据录入!$B151="",H151=0),"",ROUND(数据录入!$B151*100/H151,2))</f>
      </c>
    </row>
    <row r="152" ht="18.00" customHeight="true">
      <c r="A152">
        <f>IF(数据录入!$B152="","",IF(数据录入!$A152=""," ",数据录入!$A152))</f>
      </c>
      <c r="B152">
        <f>IF(数据录入!$B152="","",数据录入!$B152)</f>
      </c>
      <c r="C152">
        <f>IF(数据录入!$B152="","",COUNT(数据录入!$D152:$AG152))</f>
      </c>
      <c r="D152">
        <f>IF(数据录入!$B152="","",SUM(数据录入!$D152:$AG152))</f>
      </c>
      <c r="E152" s="3">
        <f>IF(OR(数据录入!$B152="",数据录入!$B152=0),"",ROUND(D152/(数据录入!$B152*100)*100,2))</f>
      </c>
      <c r="F152">
        <f>IF(数据录入!$B152="","",IF(ROW()=2,0,SUM(数据录入!$B$2:数据录入!$B151)))</f>
      </c>
      <c r="G152">
        <f>IF(数据录入!$B152="","",F152+数据录入!$B152)</f>
      </c>
      <c r="H152">
        <f>IF(数据录入!$B152="","",C152+IF(数据录入!$C152="",0,数据录入!$C152))</f>
      </c>
      <c r="I152">
        <f>IF(数据录入!$B152="","",MAX(0,H152-1))</f>
      </c>
      <c r="J152" s="3">
        <f>IF(OR(数据录入!$B152="",H152=0),"",ROUND(数据录入!$B152*100/H152,2))</f>
      </c>
    </row>
    <row r="153" ht="18.00" customHeight="true">
      <c r="A153">
        <f>IF(数据录入!$B153="","",IF(数据录入!$A153=""," ",数据录入!$A153))</f>
      </c>
      <c r="B153">
        <f>IF(数据录入!$B153="","",数据录入!$B153)</f>
      </c>
      <c r="C153">
        <f>IF(数据录入!$B153="","",COUNT(数据录入!$D153:$AG153))</f>
      </c>
      <c r="D153">
        <f>IF(数据录入!$B153="","",SUM(数据录入!$D153:$AG153))</f>
      </c>
      <c r="E153" s="3">
        <f>IF(OR(数据录入!$B153="",数据录入!$B153=0),"",ROUND(D153/(数据录入!$B153*100)*100,2))</f>
      </c>
      <c r="F153">
        <f>IF(数据录入!$B153="","",IF(ROW()=2,0,SUM(数据录入!$B$2:数据录入!$B152)))</f>
      </c>
      <c r="G153">
        <f>IF(数据录入!$B153="","",F153+数据录入!$B153)</f>
      </c>
      <c r="H153">
        <f>IF(数据录入!$B153="","",C153+IF(数据录入!$C153="",0,数据录入!$C153))</f>
      </c>
      <c r="I153">
        <f>IF(数据录入!$B153="","",MAX(0,H153-1))</f>
      </c>
      <c r="J153" s="3">
        <f>IF(OR(数据录入!$B153="",H153=0),"",ROUND(数据录入!$B153*100/H153,2))</f>
      </c>
    </row>
    <row r="154" ht="18.00" customHeight="true">
      <c r="A154">
        <f>IF(数据录入!$B154="","",IF(数据录入!$A154=""," ",数据录入!$A154))</f>
      </c>
      <c r="B154">
        <f>IF(数据录入!$B154="","",数据录入!$B154)</f>
      </c>
      <c r="C154">
        <f>IF(数据录入!$B154="","",COUNT(数据录入!$D154:$AG154))</f>
      </c>
      <c r="D154">
        <f>IF(数据录入!$B154="","",SUM(数据录入!$D154:$AG154))</f>
      </c>
      <c r="E154" s="3">
        <f>IF(OR(数据录入!$B154="",数据录入!$B154=0),"",ROUND(D154/(数据录入!$B154*100)*100,2))</f>
      </c>
      <c r="F154">
        <f>IF(数据录入!$B154="","",IF(ROW()=2,0,SUM(数据录入!$B$2:数据录入!$B153)))</f>
      </c>
      <c r="G154">
        <f>IF(数据录入!$B154="","",F154+数据录入!$B154)</f>
      </c>
      <c r="H154">
        <f>IF(数据录入!$B154="","",C154+IF(数据录入!$C154="",0,数据录入!$C154))</f>
      </c>
      <c r="I154">
        <f>IF(数据录入!$B154="","",MAX(0,H154-1))</f>
      </c>
      <c r="J154" s="3">
        <f>IF(OR(数据录入!$B154="",H154=0),"",ROUND(数据录入!$B154*100/H154,2))</f>
      </c>
    </row>
    <row r="155" ht="18.00" customHeight="true">
      <c r="A155">
        <f>IF(数据录入!$B155="","",IF(数据录入!$A155=""," ",数据录入!$A155))</f>
      </c>
      <c r="B155">
        <f>IF(数据录入!$B155="","",数据录入!$B155)</f>
      </c>
      <c r="C155">
        <f>IF(数据录入!$B155="","",COUNT(数据录入!$D155:$AG155))</f>
      </c>
      <c r="D155">
        <f>IF(数据录入!$B155="","",SUM(数据录入!$D155:$AG155))</f>
      </c>
      <c r="E155" s="3">
        <f>IF(OR(数据录入!$B155="",数据录入!$B155=0),"",ROUND(D155/(数据录入!$B155*100)*100,2))</f>
      </c>
      <c r="F155">
        <f>IF(数据录入!$B155="","",IF(ROW()=2,0,SUM(数据录入!$B$2:数据录入!$B154)))</f>
      </c>
      <c r="G155">
        <f>IF(数据录入!$B155="","",F155+数据录入!$B155)</f>
      </c>
      <c r="H155">
        <f>IF(数据录入!$B155="","",C155+IF(数据录入!$C155="",0,数据录入!$C155))</f>
      </c>
      <c r="I155">
        <f>IF(数据录入!$B155="","",MAX(0,H155-1))</f>
      </c>
      <c r="J155" s="3">
        <f>IF(OR(数据录入!$B155="",H155=0),"",ROUND(数据录入!$B155*100/H155,2))</f>
      </c>
    </row>
    <row r="156" ht="18.00" customHeight="true">
      <c r="A156">
        <f>IF(数据录入!$B156="","",IF(数据录入!$A156=""," ",数据录入!$A156))</f>
      </c>
      <c r="B156">
        <f>IF(数据录入!$B156="","",数据录入!$B156)</f>
      </c>
      <c r="C156">
        <f>IF(数据录入!$B156="","",COUNT(数据录入!$D156:$AG156))</f>
      </c>
      <c r="D156">
        <f>IF(数据录入!$B156="","",SUM(数据录入!$D156:$AG156))</f>
      </c>
      <c r="E156" s="3">
        <f>IF(OR(数据录入!$B156="",数据录入!$B156=0),"",ROUND(D156/(数据录入!$B156*100)*100,2))</f>
      </c>
      <c r="F156">
        <f>IF(数据录入!$B156="","",IF(ROW()=2,0,SUM(数据录入!$B$2:数据录入!$B155)))</f>
      </c>
      <c r="G156">
        <f>IF(数据录入!$B156="","",F156+数据录入!$B156)</f>
      </c>
      <c r="H156">
        <f>IF(数据录入!$B156="","",C156+IF(数据录入!$C156="",0,数据录入!$C156))</f>
      </c>
      <c r="I156">
        <f>IF(数据录入!$B156="","",MAX(0,H156-1))</f>
      </c>
      <c r="J156" s="3">
        <f>IF(OR(数据录入!$B156="",H156=0),"",ROUND(数据录入!$B156*100/H156,2))</f>
      </c>
    </row>
    <row r="157" ht="18.00" customHeight="true">
      <c r="A157">
        <f>IF(数据录入!$B157="","",IF(数据录入!$A157=""," ",数据录入!$A157))</f>
      </c>
      <c r="B157">
        <f>IF(数据录入!$B157="","",数据录入!$B157)</f>
      </c>
      <c r="C157">
        <f>IF(数据录入!$B157="","",COUNT(数据录入!$D157:$AG157))</f>
      </c>
      <c r="D157">
        <f>IF(数据录入!$B157="","",SUM(数据录入!$D157:$AG157))</f>
      </c>
      <c r="E157" s="3">
        <f>IF(OR(数据录入!$B157="",数据录入!$B157=0),"",ROUND(D157/(数据录入!$B157*100)*100,2))</f>
      </c>
      <c r="F157">
        <f>IF(数据录入!$B157="","",IF(ROW()=2,0,SUM(数据录入!$B$2:数据录入!$B156)))</f>
      </c>
      <c r="G157">
        <f>IF(数据录入!$B157="","",F157+数据录入!$B157)</f>
      </c>
      <c r="H157">
        <f>IF(数据录入!$B157="","",C157+IF(数据录入!$C157="",0,数据录入!$C157))</f>
      </c>
      <c r="I157">
        <f>IF(数据录入!$B157="","",MAX(0,H157-1))</f>
      </c>
      <c r="J157" s="3">
        <f>IF(OR(数据录入!$B157="",H157=0),"",ROUND(数据录入!$B157*100/H157,2))</f>
      </c>
    </row>
    <row r="158" ht="18.00" customHeight="true">
      <c r="A158">
        <f>IF(数据录入!$B158="","",IF(数据录入!$A158=""," ",数据录入!$A158))</f>
      </c>
      <c r="B158">
        <f>IF(数据录入!$B158="","",数据录入!$B158)</f>
      </c>
      <c r="C158">
        <f>IF(数据录入!$B158="","",COUNT(数据录入!$D158:$AG158))</f>
      </c>
      <c r="D158">
        <f>IF(数据录入!$B158="","",SUM(数据录入!$D158:$AG158))</f>
      </c>
      <c r="E158" s="3">
        <f>IF(OR(数据录入!$B158="",数据录入!$B158=0),"",ROUND(D158/(数据录入!$B158*100)*100,2))</f>
      </c>
      <c r="F158">
        <f>IF(数据录入!$B158="","",IF(ROW()=2,0,SUM(数据录入!$B$2:数据录入!$B157)))</f>
      </c>
      <c r="G158">
        <f>IF(数据录入!$B158="","",F158+数据录入!$B158)</f>
      </c>
      <c r="H158">
        <f>IF(数据录入!$B158="","",C158+IF(数据录入!$C158="",0,数据录入!$C158))</f>
      </c>
      <c r="I158">
        <f>IF(数据录入!$B158="","",MAX(0,H158-1))</f>
      </c>
      <c r="J158" s="3">
        <f>IF(OR(数据录入!$B158="",H158=0),"",ROUND(数据录入!$B158*100/H158,2))</f>
      </c>
    </row>
    <row r="159" ht="18.00" customHeight="true">
      <c r="A159">
        <f>IF(数据录入!$B159="","",IF(数据录入!$A159=""," ",数据录入!$A159))</f>
      </c>
      <c r="B159">
        <f>IF(数据录入!$B159="","",数据录入!$B159)</f>
      </c>
      <c r="C159">
        <f>IF(数据录入!$B159="","",COUNT(数据录入!$D159:$AG159))</f>
      </c>
      <c r="D159">
        <f>IF(数据录入!$B159="","",SUM(数据录入!$D159:$AG159))</f>
      </c>
      <c r="E159" s="3">
        <f>IF(OR(数据录入!$B159="",数据录入!$B159=0),"",ROUND(D159/(数据录入!$B159*100)*100,2))</f>
      </c>
      <c r="F159">
        <f>IF(数据录入!$B159="","",IF(ROW()=2,0,SUM(数据录入!$B$2:数据录入!$B158)))</f>
      </c>
      <c r="G159">
        <f>IF(数据录入!$B159="","",F159+数据录入!$B159)</f>
      </c>
      <c r="H159">
        <f>IF(数据录入!$B159="","",C159+IF(数据录入!$C159="",0,数据录入!$C159))</f>
      </c>
      <c r="I159">
        <f>IF(数据录入!$B159="","",MAX(0,H159-1))</f>
      </c>
      <c r="J159" s="3">
        <f>IF(OR(数据录入!$B159="",H159=0),"",ROUND(数据录入!$B159*100/H159,2))</f>
      </c>
    </row>
    <row r="160" ht="18.00" customHeight="true">
      <c r="A160">
        <f>IF(数据录入!$B160="","",IF(数据录入!$A160=""," ",数据录入!$A160))</f>
      </c>
      <c r="B160">
        <f>IF(数据录入!$B160="","",数据录入!$B160)</f>
      </c>
      <c r="C160">
        <f>IF(数据录入!$B160="","",COUNT(数据录入!$D160:$AG160))</f>
      </c>
      <c r="D160">
        <f>IF(数据录入!$B160="","",SUM(数据录入!$D160:$AG160))</f>
      </c>
      <c r="E160" s="3">
        <f>IF(OR(数据录入!$B160="",数据录入!$B160=0),"",ROUND(D160/(数据录入!$B160*100)*100,2))</f>
      </c>
      <c r="F160">
        <f>IF(数据录入!$B160="","",IF(ROW()=2,0,SUM(数据录入!$B$2:数据录入!$B159)))</f>
      </c>
      <c r="G160">
        <f>IF(数据录入!$B160="","",F160+数据录入!$B160)</f>
      </c>
      <c r="H160">
        <f>IF(数据录入!$B160="","",C160+IF(数据录入!$C160="",0,数据录入!$C160))</f>
      </c>
      <c r="I160">
        <f>IF(数据录入!$B160="","",MAX(0,H160-1))</f>
      </c>
      <c r="J160" s="3">
        <f>IF(OR(数据录入!$B160="",H160=0),"",ROUND(数据录入!$B160*100/H160,2))</f>
      </c>
    </row>
    <row r="161" ht="18.00" customHeight="true">
      <c r="A161">
        <f>IF(数据录入!$B161="","",IF(数据录入!$A161=""," ",数据录入!$A161))</f>
      </c>
      <c r="B161">
        <f>IF(数据录入!$B161="","",数据录入!$B161)</f>
      </c>
      <c r="C161">
        <f>IF(数据录入!$B161="","",COUNT(数据录入!$D161:$AG161))</f>
      </c>
      <c r="D161">
        <f>IF(数据录入!$B161="","",SUM(数据录入!$D161:$AG161))</f>
      </c>
      <c r="E161" s="3">
        <f>IF(OR(数据录入!$B161="",数据录入!$B161=0),"",ROUND(D161/(数据录入!$B161*100)*100,2))</f>
      </c>
      <c r="F161">
        <f>IF(数据录入!$B161="","",IF(ROW()=2,0,SUM(数据录入!$B$2:数据录入!$B160)))</f>
      </c>
      <c r="G161">
        <f>IF(数据录入!$B161="","",F161+数据录入!$B161)</f>
      </c>
      <c r="H161">
        <f>IF(数据录入!$B161="","",C161+IF(数据录入!$C161="",0,数据录入!$C161))</f>
      </c>
      <c r="I161">
        <f>IF(数据录入!$B161="","",MAX(0,H161-1))</f>
      </c>
      <c r="J161" s="3">
        <f>IF(OR(数据录入!$B161="",H161=0),"",ROUND(数据录入!$B161*100/H161,2))</f>
      </c>
    </row>
    <row r="162" ht="18.00" customHeight="true">
      <c r="A162">
        <f>IF(数据录入!$B162="","",IF(数据录入!$A162=""," ",数据录入!$A162))</f>
      </c>
      <c r="B162">
        <f>IF(数据录入!$B162="","",数据录入!$B162)</f>
      </c>
      <c r="C162">
        <f>IF(数据录入!$B162="","",COUNT(数据录入!$D162:$AG162))</f>
      </c>
      <c r="D162">
        <f>IF(数据录入!$B162="","",SUM(数据录入!$D162:$AG162))</f>
      </c>
      <c r="E162" s="3">
        <f>IF(OR(数据录入!$B162="",数据录入!$B162=0),"",ROUND(D162/(数据录入!$B162*100)*100,2))</f>
      </c>
      <c r="F162">
        <f>IF(数据录入!$B162="","",IF(ROW()=2,0,SUM(数据录入!$B$2:数据录入!$B161)))</f>
      </c>
      <c r="G162">
        <f>IF(数据录入!$B162="","",F162+数据录入!$B162)</f>
      </c>
      <c r="H162">
        <f>IF(数据录入!$B162="","",C162+IF(数据录入!$C162="",0,数据录入!$C162))</f>
      </c>
      <c r="I162">
        <f>IF(数据录入!$B162="","",MAX(0,H162-1))</f>
      </c>
      <c r="J162" s="3">
        <f>IF(OR(数据录入!$B162="",H162=0),"",ROUND(数据录入!$B162*100/H162,2))</f>
      </c>
    </row>
    <row r="163" ht="18.00" customHeight="true">
      <c r="A163">
        <f>IF(数据录入!$B163="","",IF(数据录入!$A163=""," ",数据录入!$A163))</f>
      </c>
      <c r="B163">
        <f>IF(数据录入!$B163="","",数据录入!$B163)</f>
      </c>
      <c r="C163">
        <f>IF(数据录入!$B163="","",COUNT(数据录入!$D163:$AG163))</f>
      </c>
      <c r="D163">
        <f>IF(数据录入!$B163="","",SUM(数据录入!$D163:$AG163))</f>
      </c>
      <c r="E163" s="3">
        <f>IF(OR(数据录入!$B163="",数据录入!$B163=0),"",ROUND(D163/(数据录入!$B163*100)*100,2))</f>
      </c>
      <c r="F163">
        <f>IF(数据录入!$B163="","",IF(ROW()=2,0,SUM(数据录入!$B$2:数据录入!$B162)))</f>
      </c>
      <c r="G163">
        <f>IF(数据录入!$B163="","",F163+数据录入!$B163)</f>
      </c>
      <c r="H163">
        <f>IF(数据录入!$B163="","",C163+IF(数据录入!$C163="",0,数据录入!$C163))</f>
      </c>
      <c r="I163">
        <f>IF(数据录入!$B163="","",MAX(0,H163-1))</f>
      </c>
      <c r="J163" s="3">
        <f>IF(OR(数据录入!$B163="",H163=0),"",ROUND(数据录入!$B163*100/H163,2))</f>
      </c>
    </row>
    <row r="164" ht="18.00" customHeight="true">
      <c r="A164">
        <f>IF(数据录入!$B164="","",IF(数据录入!$A164=""," ",数据录入!$A164))</f>
      </c>
      <c r="B164">
        <f>IF(数据录入!$B164="","",数据录入!$B164)</f>
      </c>
      <c r="C164">
        <f>IF(数据录入!$B164="","",COUNT(数据录入!$D164:$AG164))</f>
      </c>
      <c r="D164">
        <f>IF(数据录入!$B164="","",SUM(数据录入!$D164:$AG164))</f>
      </c>
      <c r="E164" s="3">
        <f>IF(OR(数据录入!$B164="",数据录入!$B164=0),"",ROUND(D164/(数据录入!$B164*100)*100,2))</f>
      </c>
      <c r="F164">
        <f>IF(数据录入!$B164="","",IF(ROW()=2,0,SUM(数据录入!$B$2:数据录入!$B163)))</f>
      </c>
      <c r="G164">
        <f>IF(数据录入!$B164="","",F164+数据录入!$B164)</f>
      </c>
      <c r="H164">
        <f>IF(数据录入!$B164="","",C164+IF(数据录入!$C164="",0,数据录入!$C164))</f>
      </c>
      <c r="I164">
        <f>IF(数据录入!$B164="","",MAX(0,H164-1))</f>
      </c>
      <c r="J164" s="3">
        <f>IF(OR(数据录入!$B164="",H164=0),"",ROUND(数据录入!$B164*100/H164,2))</f>
      </c>
    </row>
    <row r="165" ht="18.00" customHeight="true">
      <c r="A165">
        <f>IF(数据录入!$B165="","",IF(数据录入!$A165=""," ",数据录入!$A165))</f>
      </c>
      <c r="B165">
        <f>IF(数据录入!$B165="","",数据录入!$B165)</f>
      </c>
      <c r="C165">
        <f>IF(数据录入!$B165="","",COUNT(数据录入!$D165:$AG165))</f>
      </c>
      <c r="D165">
        <f>IF(数据录入!$B165="","",SUM(数据录入!$D165:$AG165))</f>
      </c>
      <c r="E165" s="3">
        <f>IF(OR(数据录入!$B165="",数据录入!$B165=0),"",ROUND(D165/(数据录入!$B165*100)*100,2))</f>
      </c>
      <c r="F165">
        <f>IF(数据录入!$B165="","",IF(ROW()=2,0,SUM(数据录入!$B$2:数据录入!$B164)))</f>
      </c>
      <c r="G165">
        <f>IF(数据录入!$B165="","",F165+数据录入!$B165)</f>
      </c>
      <c r="H165">
        <f>IF(数据录入!$B165="","",C165+IF(数据录入!$C165="",0,数据录入!$C165))</f>
      </c>
      <c r="I165">
        <f>IF(数据录入!$B165="","",MAX(0,H165-1))</f>
      </c>
      <c r="J165" s="3">
        <f>IF(OR(数据录入!$B165="",H165=0),"",ROUND(数据录入!$B165*100/H165,2))</f>
      </c>
    </row>
    <row r="166" ht="18.00" customHeight="true">
      <c r="A166">
        <f>IF(数据录入!$B166="","",IF(数据录入!$A166=""," ",数据录入!$A166))</f>
      </c>
      <c r="B166">
        <f>IF(数据录入!$B166="","",数据录入!$B166)</f>
      </c>
      <c r="C166">
        <f>IF(数据录入!$B166="","",COUNT(数据录入!$D166:$AG166))</f>
      </c>
      <c r="D166">
        <f>IF(数据录入!$B166="","",SUM(数据录入!$D166:$AG166))</f>
      </c>
      <c r="E166" s="3">
        <f>IF(OR(数据录入!$B166="",数据录入!$B166=0),"",ROUND(D166/(数据录入!$B166*100)*100,2))</f>
      </c>
      <c r="F166">
        <f>IF(数据录入!$B166="","",IF(ROW()=2,0,SUM(数据录入!$B$2:数据录入!$B165)))</f>
      </c>
      <c r="G166">
        <f>IF(数据录入!$B166="","",F166+数据录入!$B166)</f>
      </c>
      <c r="H166">
        <f>IF(数据录入!$B166="","",C166+IF(数据录入!$C166="",0,数据录入!$C166))</f>
      </c>
      <c r="I166">
        <f>IF(数据录入!$B166="","",MAX(0,H166-1))</f>
      </c>
      <c r="J166" s="3">
        <f>IF(OR(数据录入!$B166="",H166=0),"",ROUND(数据录入!$B166*100/H166,2))</f>
      </c>
    </row>
    <row r="167" ht="18.00" customHeight="true">
      <c r="A167">
        <f>IF(数据录入!$B167="","",IF(数据录入!$A167=""," ",数据录入!$A167))</f>
      </c>
      <c r="B167">
        <f>IF(数据录入!$B167="","",数据录入!$B167)</f>
      </c>
      <c r="C167">
        <f>IF(数据录入!$B167="","",COUNT(数据录入!$D167:$AG167))</f>
      </c>
      <c r="D167">
        <f>IF(数据录入!$B167="","",SUM(数据录入!$D167:$AG167))</f>
      </c>
      <c r="E167" s="3">
        <f>IF(OR(数据录入!$B167="",数据录入!$B167=0),"",ROUND(D167/(数据录入!$B167*100)*100,2))</f>
      </c>
      <c r="F167">
        <f>IF(数据录入!$B167="","",IF(ROW()=2,0,SUM(数据录入!$B$2:数据录入!$B166)))</f>
      </c>
      <c r="G167">
        <f>IF(数据录入!$B167="","",F167+数据录入!$B167)</f>
      </c>
      <c r="H167">
        <f>IF(数据录入!$B167="","",C167+IF(数据录入!$C167="",0,数据录入!$C167))</f>
      </c>
      <c r="I167">
        <f>IF(数据录入!$B167="","",MAX(0,H167-1))</f>
      </c>
      <c r="J167" s="3">
        <f>IF(OR(数据录入!$B167="",H167=0),"",ROUND(数据录入!$B167*100/H167,2))</f>
      </c>
    </row>
    <row r="168" ht="18.00" customHeight="true">
      <c r="A168">
        <f>IF(数据录入!$B168="","",IF(数据录入!$A168=""," ",数据录入!$A168))</f>
      </c>
      <c r="B168">
        <f>IF(数据录入!$B168="","",数据录入!$B168)</f>
      </c>
      <c r="C168">
        <f>IF(数据录入!$B168="","",COUNT(数据录入!$D168:$AG168))</f>
      </c>
      <c r="D168">
        <f>IF(数据录入!$B168="","",SUM(数据录入!$D168:$AG168))</f>
      </c>
      <c r="E168" s="3">
        <f>IF(OR(数据录入!$B168="",数据录入!$B168=0),"",ROUND(D168/(数据录入!$B168*100)*100,2))</f>
      </c>
      <c r="F168">
        <f>IF(数据录入!$B168="","",IF(ROW()=2,0,SUM(数据录入!$B$2:数据录入!$B167)))</f>
      </c>
      <c r="G168">
        <f>IF(数据录入!$B168="","",F168+数据录入!$B168)</f>
      </c>
      <c r="H168">
        <f>IF(数据录入!$B168="","",C168+IF(数据录入!$C168="",0,数据录入!$C168))</f>
      </c>
      <c r="I168">
        <f>IF(数据录入!$B168="","",MAX(0,H168-1))</f>
      </c>
      <c r="J168" s="3">
        <f>IF(OR(数据录入!$B168="",H168=0),"",ROUND(数据录入!$B168*100/H168,2))</f>
      </c>
    </row>
    <row r="169" ht="18.00" customHeight="true">
      <c r="A169">
        <f>IF(数据录入!$B169="","",IF(数据录入!$A169=""," ",数据录入!$A169))</f>
      </c>
      <c r="B169">
        <f>IF(数据录入!$B169="","",数据录入!$B169)</f>
      </c>
      <c r="C169">
        <f>IF(数据录入!$B169="","",COUNT(数据录入!$D169:$AG169))</f>
      </c>
      <c r="D169">
        <f>IF(数据录入!$B169="","",SUM(数据录入!$D169:$AG169))</f>
      </c>
      <c r="E169" s="3">
        <f>IF(OR(数据录入!$B169="",数据录入!$B169=0),"",ROUND(D169/(数据录入!$B169*100)*100,2))</f>
      </c>
      <c r="F169">
        <f>IF(数据录入!$B169="","",IF(ROW()=2,0,SUM(数据录入!$B$2:数据录入!$B168)))</f>
      </c>
      <c r="G169">
        <f>IF(数据录入!$B169="","",F169+数据录入!$B169)</f>
      </c>
      <c r="H169">
        <f>IF(数据录入!$B169="","",C169+IF(数据录入!$C169="",0,数据录入!$C169))</f>
      </c>
      <c r="I169">
        <f>IF(数据录入!$B169="","",MAX(0,H169-1))</f>
      </c>
      <c r="J169" s="3">
        <f>IF(OR(数据录入!$B169="",H169=0),"",ROUND(数据录入!$B169*100/H169,2))</f>
      </c>
    </row>
    <row r="170" ht="18.00" customHeight="true">
      <c r="A170">
        <f>IF(数据录入!$B170="","",IF(数据录入!$A170=""," ",数据录入!$A170))</f>
      </c>
      <c r="B170">
        <f>IF(数据录入!$B170="","",数据录入!$B170)</f>
      </c>
      <c r="C170">
        <f>IF(数据录入!$B170="","",COUNT(数据录入!$D170:$AG170))</f>
      </c>
      <c r="D170">
        <f>IF(数据录入!$B170="","",SUM(数据录入!$D170:$AG170))</f>
      </c>
      <c r="E170" s="3">
        <f>IF(OR(数据录入!$B170="",数据录入!$B170=0),"",ROUND(D170/(数据录入!$B170*100)*100,2))</f>
      </c>
      <c r="F170">
        <f>IF(数据录入!$B170="","",IF(ROW()=2,0,SUM(数据录入!$B$2:数据录入!$B169)))</f>
      </c>
      <c r="G170">
        <f>IF(数据录入!$B170="","",F170+数据录入!$B170)</f>
      </c>
      <c r="H170">
        <f>IF(数据录入!$B170="","",C170+IF(数据录入!$C170="",0,数据录入!$C170))</f>
      </c>
      <c r="I170">
        <f>IF(数据录入!$B170="","",MAX(0,H170-1))</f>
      </c>
      <c r="J170" s="3">
        <f>IF(OR(数据录入!$B170="",H170=0),"",ROUND(数据录入!$B170*100/H170,2))</f>
      </c>
    </row>
    <row r="171" ht="18.00" customHeight="true">
      <c r="A171">
        <f>IF(数据录入!$B171="","",IF(数据录入!$A171=""," ",数据录入!$A171))</f>
      </c>
      <c r="B171">
        <f>IF(数据录入!$B171="","",数据录入!$B171)</f>
      </c>
      <c r="C171">
        <f>IF(数据录入!$B171="","",COUNT(数据录入!$D171:$AG171))</f>
      </c>
      <c r="D171">
        <f>IF(数据录入!$B171="","",SUM(数据录入!$D171:$AG171))</f>
      </c>
      <c r="E171" s="3">
        <f>IF(OR(数据录入!$B171="",数据录入!$B171=0),"",ROUND(D171/(数据录入!$B171*100)*100,2))</f>
      </c>
      <c r="F171">
        <f>IF(数据录入!$B171="","",IF(ROW()=2,0,SUM(数据录入!$B$2:数据录入!$B170)))</f>
      </c>
      <c r="G171">
        <f>IF(数据录入!$B171="","",F171+数据录入!$B171)</f>
      </c>
      <c r="H171">
        <f>IF(数据录入!$B171="","",C171+IF(数据录入!$C171="",0,数据录入!$C171))</f>
      </c>
      <c r="I171">
        <f>IF(数据录入!$B171="","",MAX(0,H171-1))</f>
      </c>
      <c r="J171" s="3">
        <f>IF(OR(数据录入!$B171="",H171=0),"",ROUND(数据录入!$B171*100/H171,2))</f>
      </c>
    </row>
    <row r="172" ht="18.00" customHeight="true">
      <c r="A172">
        <f>IF(数据录入!$B172="","",IF(数据录入!$A172=""," ",数据录入!$A172))</f>
      </c>
      <c r="B172">
        <f>IF(数据录入!$B172="","",数据录入!$B172)</f>
      </c>
      <c r="C172">
        <f>IF(数据录入!$B172="","",COUNT(数据录入!$D172:$AG172))</f>
      </c>
      <c r="D172">
        <f>IF(数据录入!$B172="","",SUM(数据录入!$D172:$AG172))</f>
      </c>
      <c r="E172" s="3">
        <f>IF(OR(数据录入!$B172="",数据录入!$B172=0),"",ROUND(D172/(数据录入!$B172*100)*100,2))</f>
      </c>
      <c r="F172">
        <f>IF(数据录入!$B172="","",IF(ROW()=2,0,SUM(数据录入!$B$2:数据录入!$B171)))</f>
      </c>
      <c r="G172">
        <f>IF(数据录入!$B172="","",F172+数据录入!$B172)</f>
      </c>
      <c r="H172">
        <f>IF(数据录入!$B172="","",C172+IF(数据录入!$C172="",0,数据录入!$C172))</f>
      </c>
      <c r="I172">
        <f>IF(数据录入!$B172="","",MAX(0,H172-1))</f>
      </c>
      <c r="J172" s="3">
        <f>IF(OR(数据录入!$B172="",H172=0),"",ROUND(数据录入!$B172*100/H172,2))</f>
      </c>
    </row>
    <row r="173" ht="18.00" customHeight="true">
      <c r="A173">
        <f>IF(数据录入!$B173="","",IF(数据录入!$A173=""," ",数据录入!$A173))</f>
      </c>
      <c r="B173">
        <f>IF(数据录入!$B173="","",数据录入!$B173)</f>
      </c>
      <c r="C173">
        <f>IF(数据录入!$B173="","",COUNT(数据录入!$D173:$AG173))</f>
      </c>
      <c r="D173">
        <f>IF(数据录入!$B173="","",SUM(数据录入!$D173:$AG173))</f>
      </c>
      <c r="E173" s="3">
        <f>IF(OR(数据录入!$B173="",数据录入!$B173=0),"",ROUND(D173/(数据录入!$B173*100)*100,2))</f>
      </c>
      <c r="F173">
        <f>IF(数据录入!$B173="","",IF(ROW()=2,0,SUM(数据录入!$B$2:数据录入!$B172)))</f>
      </c>
      <c r="G173">
        <f>IF(数据录入!$B173="","",F173+数据录入!$B173)</f>
      </c>
      <c r="H173">
        <f>IF(数据录入!$B173="","",C173+IF(数据录入!$C173="",0,数据录入!$C173))</f>
      </c>
      <c r="I173">
        <f>IF(数据录入!$B173="","",MAX(0,H173-1))</f>
      </c>
      <c r="J173" s="3">
        <f>IF(OR(数据录入!$B173="",H173=0),"",ROUND(数据录入!$B173*100/H173,2))</f>
      </c>
    </row>
    <row r="174" ht="18.00" customHeight="true">
      <c r="A174">
        <f>IF(数据录入!$B174="","",IF(数据录入!$A174=""," ",数据录入!$A174))</f>
      </c>
      <c r="B174">
        <f>IF(数据录入!$B174="","",数据录入!$B174)</f>
      </c>
      <c r="C174">
        <f>IF(数据录入!$B174="","",COUNT(数据录入!$D174:$AG174))</f>
      </c>
      <c r="D174">
        <f>IF(数据录入!$B174="","",SUM(数据录入!$D174:$AG174))</f>
      </c>
      <c r="E174" s="3">
        <f>IF(OR(数据录入!$B174="",数据录入!$B174=0),"",ROUND(D174/(数据录入!$B174*100)*100,2))</f>
      </c>
      <c r="F174">
        <f>IF(数据录入!$B174="","",IF(ROW()=2,0,SUM(数据录入!$B$2:数据录入!$B173)))</f>
      </c>
      <c r="G174">
        <f>IF(数据录入!$B174="","",F174+数据录入!$B174)</f>
      </c>
      <c r="H174">
        <f>IF(数据录入!$B174="","",C174+IF(数据录入!$C174="",0,数据录入!$C174))</f>
      </c>
      <c r="I174">
        <f>IF(数据录入!$B174="","",MAX(0,H174-1))</f>
      </c>
      <c r="J174" s="3">
        <f>IF(OR(数据录入!$B174="",H174=0),"",ROUND(数据录入!$B174*100/H174,2))</f>
      </c>
    </row>
    <row r="175" ht="18.00" customHeight="true">
      <c r="A175">
        <f>IF(数据录入!$B175="","",IF(数据录入!$A175=""," ",数据录入!$A175))</f>
      </c>
      <c r="B175">
        <f>IF(数据录入!$B175="","",数据录入!$B175)</f>
      </c>
      <c r="C175">
        <f>IF(数据录入!$B175="","",COUNT(数据录入!$D175:$AG175))</f>
      </c>
      <c r="D175">
        <f>IF(数据录入!$B175="","",SUM(数据录入!$D175:$AG175))</f>
      </c>
      <c r="E175" s="3">
        <f>IF(OR(数据录入!$B175="",数据录入!$B175=0),"",ROUND(D175/(数据录入!$B175*100)*100,2))</f>
      </c>
      <c r="F175">
        <f>IF(数据录入!$B175="","",IF(ROW()=2,0,SUM(数据录入!$B$2:数据录入!$B174)))</f>
      </c>
      <c r="G175">
        <f>IF(数据录入!$B175="","",F175+数据录入!$B175)</f>
      </c>
      <c r="H175">
        <f>IF(数据录入!$B175="","",C175+IF(数据录入!$C175="",0,数据录入!$C175))</f>
      </c>
      <c r="I175">
        <f>IF(数据录入!$B175="","",MAX(0,H175-1))</f>
      </c>
      <c r="J175" s="3">
        <f>IF(OR(数据录入!$B175="",H175=0),"",ROUND(数据录入!$B175*100/H175,2))</f>
      </c>
    </row>
    <row r="176" ht="18.00" customHeight="true">
      <c r="A176">
        <f>IF(数据录入!$B176="","",IF(数据录入!$A176=""," ",数据录入!$A176))</f>
      </c>
      <c r="B176">
        <f>IF(数据录入!$B176="","",数据录入!$B176)</f>
      </c>
      <c r="C176">
        <f>IF(数据录入!$B176="","",COUNT(数据录入!$D176:$AG176))</f>
      </c>
      <c r="D176">
        <f>IF(数据录入!$B176="","",SUM(数据录入!$D176:$AG176))</f>
      </c>
      <c r="E176" s="3">
        <f>IF(OR(数据录入!$B176="",数据录入!$B176=0),"",ROUND(D176/(数据录入!$B176*100)*100,2))</f>
      </c>
      <c r="F176">
        <f>IF(数据录入!$B176="","",IF(ROW()=2,0,SUM(数据录入!$B$2:数据录入!$B175)))</f>
      </c>
      <c r="G176">
        <f>IF(数据录入!$B176="","",F176+数据录入!$B176)</f>
      </c>
      <c r="H176">
        <f>IF(数据录入!$B176="","",C176+IF(数据录入!$C176="",0,数据录入!$C176))</f>
      </c>
      <c r="I176">
        <f>IF(数据录入!$B176="","",MAX(0,H176-1))</f>
      </c>
      <c r="J176" s="3">
        <f>IF(OR(数据录入!$B176="",H176=0),"",ROUND(数据录入!$B176*100/H176,2))</f>
      </c>
    </row>
    <row r="177" ht="18.00" customHeight="true">
      <c r="A177">
        <f>IF(数据录入!$B177="","",IF(数据录入!$A177=""," ",数据录入!$A177))</f>
      </c>
      <c r="B177">
        <f>IF(数据录入!$B177="","",数据录入!$B177)</f>
      </c>
      <c r="C177">
        <f>IF(数据录入!$B177="","",COUNT(数据录入!$D177:$AG177))</f>
      </c>
      <c r="D177">
        <f>IF(数据录入!$B177="","",SUM(数据录入!$D177:$AG177))</f>
      </c>
      <c r="E177" s="3">
        <f>IF(OR(数据录入!$B177="",数据录入!$B177=0),"",ROUND(D177/(数据录入!$B177*100)*100,2))</f>
      </c>
      <c r="F177">
        <f>IF(数据录入!$B177="","",IF(ROW()=2,0,SUM(数据录入!$B$2:数据录入!$B176)))</f>
      </c>
      <c r="G177">
        <f>IF(数据录入!$B177="","",F177+数据录入!$B177)</f>
      </c>
      <c r="H177">
        <f>IF(数据录入!$B177="","",C177+IF(数据录入!$C177="",0,数据录入!$C177))</f>
      </c>
      <c r="I177">
        <f>IF(数据录入!$B177="","",MAX(0,H177-1))</f>
      </c>
      <c r="J177" s="3">
        <f>IF(OR(数据录入!$B177="",H177=0),"",ROUND(数据录入!$B177*100/H177,2))</f>
      </c>
    </row>
    <row r="178" ht="18.00" customHeight="true">
      <c r="A178">
        <f>IF(数据录入!$B178="","",IF(数据录入!$A178=""," ",数据录入!$A178))</f>
      </c>
      <c r="B178">
        <f>IF(数据录入!$B178="","",数据录入!$B178)</f>
      </c>
      <c r="C178">
        <f>IF(数据录入!$B178="","",COUNT(数据录入!$D178:$AG178))</f>
      </c>
      <c r="D178">
        <f>IF(数据录入!$B178="","",SUM(数据录入!$D178:$AG178))</f>
      </c>
      <c r="E178" s="3">
        <f>IF(OR(数据录入!$B178="",数据录入!$B178=0),"",ROUND(D178/(数据录入!$B178*100)*100,2))</f>
      </c>
      <c r="F178">
        <f>IF(数据录入!$B178="","",IF(ROW()=2,0,SUM(数据录入!$B$2:数据录入!$B177)))</f>
      </c>
      <c r="G178">
        <f>IF(数据录入!$B178="","",F178+数据录入!$B178)</f>
      </c>
      <c r="H178">
        <f>IF(数据录入!$B178="","",C178+IF(数据录入!$C178="",0,数据录入!$C178))</f>
      </c>
      <c r="I178">
        <f>IF(数据录入!$B178="","",MAX(0,H178-1))</f>
      </c>
      <c r="J178" s="3">
        <f>IF(OR(数据录入!$B178="",H178=0),"",ROUND(数据录入!$B178*100/H178,2))</f>
      </c>
    </row>
    <row r="179" ht="18.00" customHeight="true">
      <c r="A179">
        <f>IF(数据录入!$B179="","",IF(数据录入!$A179=""," ",数据录入!$A179))</f>
      </c>
      <c r="B179">
        <f>IF(数据录入!$B179="","",数据录入!$B179)</f>
      </c>
      <c r="C179">
        <f>IF(数据录入!$B179="","",COUNT(数据录入!$D179:$AG179))</f>
      </c>
      <c r="D179">
        <f>IF(数据录入!$B179="","",SUM(数据录入!$D179:$AG179))</f>
      </c>
      <c r="E179" s="3">
        <f>IF(OR(数据录入!$B179="",数据录入!$B179=0),"",ROUND(D179/(数据录入!$B179*100)*100,2))</f>
      </c>
      <c r="F179">
        <f>IF(数据录入!$B179="","",IF(ROW()=2,0,SUM(数据录入!$B$2:数据录入!$B178)))</f>
      </c>
      <c r="G179">
        <f>IF(数据录入!$B179="","",F179+数据录入!$B179)</f>
      </c>
      <c r="H179">
        <f>IF(数据录入!$B179="","",C179+IF(数据录入!$C179="",0,数据录入!$C179))</f>
      </c>
      <c r="I179">
        <f>IF(数据录入!$B179="","",MAX(0,H179-1))</f>
      </c>
      <c r="J179" s="3">
        <f>IF(OR(数据录入!$B179="",H179=0),"",ROUND(数据录入!$B179*100/H179,2))</f>
      </c>
    </row>
    <row r="180" ht="18.00" customHeight="true">
      <c r="A180">
        <f>IF(数据录入!$B180="","",IF(数据录入!$A180=""," ",数据录入!$A180))</f>
      </c>
      <c r="B180">
        <f>IF(数据录入!$B180="","",数据录入!$B180)</f>
      </c>
      <c r="C180">
        <f>IF(数据录入!$B180="","",COUNT(数据录入!$D180:$AG180))</f>
      </c>
      <c r="D180">
        <f>IF(数据录入!$B180="","",SUM(数据录入!$D180:$AG180))</f>
      </c>
      <c r="E180" s="3">
        <f>IF(OR(数据录入!$B180="",数据录入!$B180=0),"",ROUND(D180/(数据录入!$B180*100)*100,2))</f>
      </c>
      <c r="F180">
        <f>IF(数据录入!$B180="","",IF(ROW()=2,0,SUM(数据录入!$B$2:数据录入!$B179)))</f>
      </c>
      <c r="G180">
        <f>IF(数据录入!$B180="","",F180+数据录入!$B180)</f>
      </c>
      <c r="H180">
        <f>IF(数据录入!$B180="","",C180+IF(数据录入!$C180="",0,数据录入!$C180))</f>
      </c>
      <c r="I180">
        <f>IF(数据录入!$B180="","",MAX(0,H180-1))</f>
      </c>
      <c r="J180" s="3">
        <f>IF(OR(数据录入!$B180="",H180=0),"",ROUND(数据录入!$B180*100/H180,2))</f>
      </c>
    </row>
    <row r="181" ht="18.00" customHeight="true">
      <c r="A181">
        <f>IF(数据录入!$B181="","",IF(数据录入!$A181=""," ",数据录入!$A181))</f>
      </c>
      <c r="B181">
        <f>IF(数据录入!$B181="","",数据录入!$B181)</f>
      </c>
      <c r="C181">
        <f>IF(数据录入!$B181="","",COUNT(数据录入!$D181:$AG181))</f>
      </c>
      <c r="D181">
        <f>IF(数据录入!$B181="","",SUM(数据录入!$D181:$AG181))</f>
      </c>
      <c r="E181" s="3">
        <f>IF(OR(数据录入!$B181="",数据录入!$B181=0),"",ROUND(D181/(数据录入!$B181*100)*100,2))</f>
      </c>
      <c r="F181">
        <f>IF(数据录入!$B181="","",IF(ROW()=2,0,SUM(数据录入!$B$2:数据录入!$B180)))</f>
      </c>
      <c r="G181">
        <f>IF(数据录入!$B181="","",F181+数据录入!$B181)</f>
      </c>
      <c r="H181">
        <f>IF(数据录入!$B181="","",C181+IF(数据录入!$C181="",0,数据录入!$C181))</f>
      </c>
      <c r="I181">
        <f>IF(数据录入!$B181="","",MAX(0,H181-1))</f>
      </c>
      <c r="J181" s="3">
        <f>IF(OR(数据录入!$B181="",H181=0),"",ROUND(数据录入!$B181*100/H181,2))</f>
      </c>
    </row>
    <row r="182" ht="18.00" customHeight="true">
      <c r="A182">
        <f>IF(数据录入!$B182="","",IF(数据录入!$A182=""," ",数据录入!$A182))</f>
      </c>
      <c r="B182">
        <f>IF(数据录入!$B182="","",数据录入!$B182)</f>
      </c>
      <c r="C182">
        <f>IF(数据录入!$B182="","",COUNT(数据录入!$D182:$AG182))</f>
      </c>
      <c r="D182">
        <f>IF(数据录入!$B182="","",SUM(数据录入!$D182:$AG182))</f>
      </c>
      <c r="E182" s="3">
        <f>IF(OR(数据录入!$B182="",数据录入!$B182=0),"",ROUND(D182/(数据录入!$B182*100)*100,2))</f>
      </c>
      <c r="F182">
        <f>IF(数据录入!$B182="","",IF(ROW()=2,0,SUM(数据录入!$B$2:数据录入!$B181)))</f>
      </c>
      <c r="G182">
        <f>IF(数据录入!$B182="","",F182+数据录入!$B182)</f>
      </c>
      <c r="H182">
        <f>IF(数据录入!$B182="","",C182+IF(数据录入!$C182="",0,数据录入!$C182))</f>
      </c>
      <c r="I182">
        <f>IF(数据录入!$B182="","",MAX(0,H182-1))</f>
      </c>
      <c r="J182" s="3">
        <f>IF(OR(数据录入!$B182="",H182=0),"",ROUND(数据录入!$B182*100/H182,2))</f>
      </c>
    </row>
    <row r="183" ht="18.00" customHeight="true">
      <c r="A183">
        <f>IF(数据录入!$B183="","",IF(数据录入!$A183=""," ",数据录入!$A183))</f>
      </c>
      <c r="B183">
        <f>IF(数据录入!$B183="","",数据录入!$B183)</f>
      </c>
      <c r="C183">
        <f>IF(数据录入!$B183="","",COUNT(数据录入!$D183:$AG183))</f>
      </c>
      <c r="D183">
        <f>IF(数据录入!$B183="","",SUM(数据录入!$D183:$AG183))</f>
      </c>
      <c r="E183" s="3">
        <f>IF(OR(数据录入!$B183="",数据录入!$B183=0),"",ROUND(D183/(数据录入!$B183*100)*100,2))</f>
      </c>
      <c r="F183">
        <f>IF(数据录入!$B183="","",IF(ROW()=2,0,SUM(数据录入!$B$2:数据录入!$B182)))</f>
      </c>
      <c r="G183">
        <f>IF(数据录入!$B183="","",F183+数据录入!$B183)</f>
      </c>
      <c r="H183">
        <f>IF(数据录入!$B183="","",C183+IF(数据录入!$C183="",0,数据录入!$C183))</f>
      </c>
      <c r="I183">
        <f>IF(数据录入!$B183="","",MAX(0,H183-1))</f>
      </c>
      <c r="J183" s="3">
        <f>IF(OR(数据录入!$B183="",H183=0),"",ROUND(数据录入!$B183*100/H183,2))</f>
      </c>
    </row>
    <row r="184" ht="18.00" customHeight="true">
      <c r="A184">
        <f>IF(数据录入!$B184="","",IF(数据录入!$A184=""," ",数据录入!$A184))</f>
      </c>
      <c r="B184">
        <f>IF(数据录入!$B184="","",数据录入!$B184)</f>
      </c>
      <c r="C184">
        <f>IF(数据录入!$B184="","",COUNT(数据录入!$D184:$AG184))</f>
      </c>
      <c r="D184">
        <f>IF(数据录入!$B184="","",SUM(数据录入!$D184:$AG184))</f>
      </c>
      <c r="E184" s="3">
        <f>IF(OR(数据录入!$B184="",数据录入!$B184=0),"",ROUND(D184/(数据录入!$B184*100)*100,2))</f>
      </c>
      <c r="F184">
        <f>IF(数据录入!$B184="","",IF(ROW()=2,0,SUM(数据录入!$B$2:数据录入!$B183)))</f>
      </c>
      <c r="G184">
        <f>IF(数据录入!$B184="","",F184+数据录入!$B184)</f>
      </c>
      <c r="H184">
        <f>IF(数据录入!$B184="","",C184+IF(数据录入!$C184="",0,数据录入!$C184))</f>
      </c>
      <c r="I184">
        <f>IF(数据录入!$B184="","",MAX(0,H184-1))</f>
      </c>
      <c r="J184" s="3">
        <f>IF(OR(数据录入!$B184="",H184=0),"",ROUND(数据录入!$B184*100/H184,2))</f>
      </c>
    </row>
    <row r="185" ht="18.00" customHeight="true">
      <c r="A185">
        <f>IF(数据录入!$B185="","",IF(数据录入!$A185=""," ",数据录入!$A185))</f>
      </c>
      <c r="B185">
        <f>IF(数据录入!$B185="","",数据录入!$B185)</f>
      </c>
      <c r="C185">
        <f>IF(数据录入!$B185="","",COUNT(数据录入!$D185:$AG185))</f>
      </c>
      <c r="D185">
        <f>IF(数据录入!$B185="","",SUM(数据录入!$D185:$AG185))</f>
      </c>
      <c r="E185" s="3">
        <f>IF(OR(数据录入!$B185="",数据录入!$B185=0),"",ROUND(D185/(数据录入!$B185*100)*100,2))</f>
      </c>
      <c r="F185">
        <f>IF(数据录入!$B185="","",IF(ROW()=2,0,SUM(数据录入!$B$2:数据录入!$B184)))</f>
      </c>
      <c r="G185">
        <f>IF(数据录入!$B185="","",F185+数据录入!$B185)</f>
      </c>
      <c r="H185">
        <f>IF(数据录入!$B185="","",C185+IF(数据录入!$C185="",0,数据录入!$C185))</f>
      </c>
      <c r="I185">
        <f>IF(数据录入!$B185="","",MAX(0,H185-1))</f>
      </c>
      <c r="J185" s="3">
        <f>IF(OR(数据录入!$B185="",H185=0),"",ROUND(数据录入!$B185*100/H185,2))</f>
      </c>
    </row>
    <row r="186" ht="18.00" customHeight="true">
      <c r="A186">
        <f>IF(数据录入!$B186="","",IF(数据录入!$A186=""," ",数据录入!$A186))</f>
      </c>
      <c r="B186">
        <f>IF(数据录入!$B186="","",数据录入!$B186)</f>
      </c>
      <c r="C186">
        <f>IF(数据录入!$B186="","",COUNT(数据录入!$D186:$AG186))</f>
      </c>
      <c r="D186">
        <f>IF(数据录入!$B186="","",SUM(数据录入!$D186:$AG186))</f>
      </c>
      <c r="E186" s="3">
        <f>IF(OR(数据录入!$B186="",数据录入!$B186=0),"",ROUND(D186/(数据录入!$B186*100)*100,2))</f>
      </c>
      <c r="F186">
        <f>IF(数据录入!$B186="","",IF(ROW()=2,0,SUM(数据录入!$B$2:数据录入!$B185)))</f>
      </c>
      <c r="G186">
        <f>IF(数据录入!$B186="","",F186+数据录入!$B186)</f>
      </c>
      <c r="H186">
        <f>IF(数据录入!$B186="","",C186+IF(数据录入!$C186="",0,数据录入!$C186))</f>
      </c>
      <c r="I186">
        <f>IF(数据录入!$B186="","",MAX(0,H186-1))</f>
      </c>
      <c r="J186" s="3">
        <f>IF(OR(数据录入!$B186="",H186=0),"",ROUND(数据录入!$B186*100/H186,2))</f>
      </c>
    </row>
    <row r="187" ht="18.00" customHeight="true">
      <c r="A187">
        <f>IF(数据录入!$B187="","",IF(数据录入!$A187=""," ",数据录入!$A187))</f>
      </c>
      <c r="B187">
        <f>IF(数据录入!$B187="","",数据录入!$B187)</f>
      </c>
      <c r="C187">
        <f>IF(数据录入!$B187="","",COUNT(数据录入!$D187:$AG187))</f>
      </c>
      <c r="D187">
        <f>IF(数据录入!$B187="","",SUM(数据录入!$D187:$AG187))</f>
      </c>
      <c r="E187" s="3">
        <f>IF(OR(数据录入!$B187="",数据录入!$B187=0),"",ROUND(D187/(数据录入!$B187*100)*100,2))</f>
      </c>
      <c r="F187">
        <f>IF(数据录入!$B187="","",IF(ROW()=2,0,SUM(数据录入!$B$2:数据录入!$B186)))</f>
      </c>
      <c r="G187">
        <f>IF(数据录入!$B187="","",F187+数据录入!$B187)</f>
      </c>
      <c r="H187">
        <f>IF(数据录入!$B187="","",C187+IF(数据录入!$C187="",0,数据录入!$C187))</f>
      </c>
      <c r="I187">
        <f>IF(数据录入!$B187="","",MAX(0,H187-1))</f>
      </c>
      <c r="J187" s="3">
        <f>IF(OR(数据录入!$B187="",H187=0),"",ROUND(数据录入!$B187*100/H187,2))</f>
      </c>
    </row>
    <row r="188" ht="18.00" customHeight="true">
      <c r="A188">
        <f>IF(数据录入!$B188="","",IF(数据录入!$A188=""," ",数据录入!$A188))</f>
      </c>
      <c r="B188">
        <f>IF(数据录入!$B188="","",数据录入!$B188)</f>
      </c>
      <c r="C188">
        <f>IF(数据录入!$B188="","",COUNT(数据录入!$D188:$AG188))</f>
      </c>
      <c r="D188">
        <f>IF(数据录入!$B188="","",SUM(数据录入!$D188:$AG188))</f>
      </c>
      <c r="E188" s="3">
        <f>IF(OR(数据录入!$B188="",数据录入!$B188=0),"",ROUND(D188/(数据录入!$B188*100)*100,2))</f>
      </c>
      <c r="F188">
        <f>IF(数据录入!$B188="","",IF(ROW()=2,0,SUM(数据录入!$B$2:数据录入!$B187)))</f>
      </c>
      <c r="G188">
        <f>IF(数据录入!$B188="","",F188+数据录入!$B188)</f>
      </c>
      <c r="H188">
        <f>IF(数据录入!$B188="","",C188+IF(数据录入!$C188="",0,数据录入!$C188))</f>
      </c>
      <c r="I188">
        <f>IF(数据录入!$B188="","",MAX(0,H188-1))</f>
      </c>
      <c r="J188" s="3">
        <f>IF(OR(数据录入!$B188="",H188=0),"",ROUND(数据录入!$B188*100/H188,2))</f>
      </c>
    </row>
    <row r="189" ht="18.00" customHeight="true">
      <c r="A189">
        <f>IF(数据录入!$B189="","",IF(数据录入!$A189=""," ",数据录入!$A189))</f>
      </c>
      <c r="B189">
        <f>IF(数据录入!$B189="","",数据录入!$B189)</f>
      </c>
      <c r="C189">
        <f>IF(数据录入!$B189="","",COUNT(数据录入!$D189:$AG189))</f>
      </c>
      <c r="D189">
        <f>IF(数据录入!$B189="","",SUM(数据录入!$D189:$AG189))</f>
      </c>
      <c r="E189" s="3">
        <f>IF(OR(数据录入!$B189="",数据录入!$B189=0),"",ROUND(D189/(数据录入!$B189*100)*100,2))</f>
      </c>
      <c r="F189">
        <f>IF(数据录入!$B189="","",IF(ROW()=2,0,SUM(数据录入!$B$2:数据录入!$B188)))</f>
      </c>
      <c r="G189">
        <f>IF(数据录入!$B189="","",F189+数据录入!$B189)</f>
      </c>
      <c r="H189">
        <f>IF(数据录入!$B189="","",C189+IF(数据录入!$C189="",0,数据录入!$C189))</f>
      </c>
      <c r="I189">
        <f>IF(数据录入!$B189="","",MAX(0,H189-1))</f>
      </c>
      <c r="J189" s="3">
        <f>IF(OR(数据录入!$B189="",H189=0),"",ROUND(数据录入!$B189*100/H189,2))</f>
      </c>
    </row>
    <row r="190" ht="18.00" customHeight="true">
      <c r="A190">
        <f>IF(数据录入!$B190="","",IF(数据录入!$A190=""," ",数据录入!$A190))</f>
      </c>
      <c r="B190">
        <f>IF(数据录入!$B190="","",数据录入!$B190)</f>
      </c>
      <c r="C190">
        <f>IF(数据录入!$B190="","",COUNT(数据录入!$D190:$AG190))</f>
      </c>
      <c r="D190">
        <f>IF(数据录入!$B190="","",SUM(数据录入!$D190:$AG190))</f>
      </c>
      <c r="E190" s="3">
        <f>IF(OR(数据录入!$B190="",数据录入!$B190=0),"",ROUND(D190/(数据录入!$B190*100)*100,2))</f>
      </c>
      <c r="F190">
        <f>IF(数据录入!$B190="","",IF(ROW()=2,0,SUM(数据录入!$B$2:数据录入!$B189)))</f>
      </c>
      <c r="G190">
        <f>IF(数据录入!$B190="","",F190+数据录入!$B190)</f>
      </c>
      <c r="H190">
        <f>IF(数据录入!$B190="","",C190+IF(数据录入!$C190="",0,数据录入!$C190))</f>
      </c>
      <c r="I190">
        <f>IF(数据录入!$B190="","",MAX(0,H190-1))</f>
      </c>
      <c r="J190" s="3">
        <f>IF(OR(数据录入!$B190="",H190=0),"",ROUND(数据录入!$B190*100/H190,2))</f>
      </c>
    </row>
    <row r="191" ht="18.00" customHeight="true">
      <c r="A191">
        <f>IF(数据录入!$B191="","",IF(数据录入!$A191=""," ",数据录入!$A191))</f>
      </c>
      <c r="B191">
        <f>IF(数据录入!$B191="","",数据录入!$B191)</f>
      </c>
      <c r="C191">
        <f>IF(数据录入!$B191="","",COUNT(数据录入!$D191:$AG191))</f>
      </c>
      <c r="D191">
        <f>IF(数据录入!$B191="","",SUM(数据录入!$D191:$AG191))</f>
      </c>
      <c r="E191" s="3">
        <f>IF(OR(数据录入!$B191="",数据录入!$B191=0),"",ROUND(D191/(数据录入!$B191*100)*100,2))</f>
      </c>
      <c r="F191">
        <f>IF(数据录入!$B191="","",IF(ROW()=2,0,SUM(数据录入!$B$2:数据录入!$B190)))</f>
      </c>
      <c r="G191">
        <f>IF(数据录入!$B191="","",F191+数据录入!$B191)</f>
      </c>
      <c r="H191">
        <f>IF(数据录入!$B191="","",C191+IF(数据录入!$C191="",0,数据录入!$C191))</f>
      </c>
      <c r="I191">
        <f>IF(数据录入!$B191="","",MAX(0,H191-1))</f>
      </c>
      <c r="J191" s="3">
        <f>IF(OR(数据录入!$B191="",H191=0),"",ROUND(数据录入!$B191*100/H191,2))</f>
      </c>
    </row>
    <row r="192" ht="18.00" customHeight="true">
      <c r="A192">
        <f>IF(数据录入!$B192="","",IF(数据录入!$A192=""," ",数据录入!$A192))</f>
      </c>
      <c r="B192">
        <f>IF(数据录入!$B192="","",数据录入!$B192)</f>
      </c>
      <c r="C192">
        <f>IF(数据录入!$B192="","",COUNT(数据录入!$D192:$AG192))</f>
      </c>
      <c r="D192">
        <f>IF(数据录入!$B192="","",SUM(数据录入!$D192:$AG192))</f>
      </c>
      <c r="E192" s="3">
        <f>IF(OR(数据录入!$B192="",数据录入!$B192=0),"",ROUND(D192/(数据录入!$B192*100)*100,2))</f>
      </c>
      <c r="F192">
        <f>IF(数据录入!$B192="","",IF(ROW()=2,0,SUM(数据录入!$B$2:数据录入!$B191)))</f>
      </c>
      <c r="G192">
        <f>IF(数据录入!$B192="","",F192+数据录入!$B192)</f>
      </c>
      <c r="H192">
        <f>IF(数据录入!$B192="","",C192+IF(数据录入!$C192="",0,数据录入!$C192))</f>
      </c>
      <c r="I192">
        <f>IF(数据录入!$B192="","",MAX(0,H192-1))</f>
      </c>
      <c r="J192" s="3">
        <f>IF(OR(数据录入!$B192="",H192=0),"",ROUND(数据录入!$B192*100/H192,2))</f>
      </c>
    </row>
    <row r="193" ht="18.00" customHeight="true">
      <c r="A193">
        <f>IF(数据录入!$B193="","",IF(数据录入!$A193=""," ",数据录入!$A193))</f>
      </c>
      <c r="B193">
        <f>IF(数据录入!$B193="","",数据录入!$B193)</f>
      </c>
      <c r="C193">
        <f>IF(数据录入!$B193="","",COUNT(数据录入!$D193:$AG193))</f>
      </c>
      <c r="D193">
        <f>IF(数据录入!$B193="","",SUM(数据录入!$D193:$AG193))</f>
      </c>
      <c r="E193" s="3">
        <f>IF(OR(数据录入!$B193="",数据录入!$B193=0),"",ROUND(D193/(数据录入!$B193*100)*100,2))</f>
      </c>
      <c r="F193">
        <f>IF(数据录入!$B193="","",IF(ROW()=2,0,SUM(数据录入!$B$2:数据录入!$B192)))</f>
      </c>
      <c r="G193">
        <f>IF(数据录入!$B193="","",F193+数据录入!$B193)</f>
      </c>
      <c r="H193">
        <f>IF(数据录入!$B193="","",C193+IF(数据录入!$C193="",0,数据录入!$C193))</f>
      </c>
      <c r="I193">
        <f>IF(数据录入!$B193="","",MAX(0,H193-1))</f>
      </c>
      <c r="J193" s="3">
        <f>IF(OR(数据录入!$B193="",H193=0),"",ROUND(数据录入!$B193*100/H193,2))</f>
      </c>
    </row>
    <row r="194" ht="18.00" customHeight="true">
      <c r="A194">
        <f>IF(数据录入!$B194="","",IF(数据录入!$A194=""," ",数据录入!$A194))</f>
      </c>
      <c r="B194">
        <f>IF(数据录入!$B194="","",数据录入!$B194)</f>
      </c>
      <c r="C194">
        <f>IF(数据录入!$B194="","",COUNT(数据录入!$D194:$AG194))</f>
      </c>
      <c r="D194">
        <f>IF(数据录入!$B194="","",SUM(数据录入!$D194:$AG194))</f>
      </c>
      <c r="E194" s="3">
        <f>IF(OR(数据录入!$B194="",数据录入!$B194=0),"",ROUND(D194/(数据录入!$B194*100)*100,2))</f>
      </c>
      <c r="F194">
        <f>IF(数据录入!$B194="","",IF(ROW()=2,0,SUM(数据录入!$B$2:数据录入!$B193)))</f>
      </c>
      <c r="G194">
        <f>IF(数据录入!$B194="","",F194+数据录入!$B194)</f>
      </c>
      <c r="H194">
        <f>IF(数据录入!$B194="","",C194+IF(数据录入!$C194="",0,数据录入!$C194))</f>
      </c>
      <c r="I194">
        <f>IF(数据录入!$B194="","",MAX(0,H194-1))</f>
      </c>
      <c r="J194" s="3">
        <f>IF(OR(数据录入!$B194="",H194=0),"",ROUND(数据录入!$B194*100/H194,2))</f>
      </c>
    </row>
    <row r="195" ht="18.00" customHeight="true">
      <c r="A195">
        <f>IF(数据录入!$B195="","",IF(数据录入!$A195=""," ",数据录入!$A195))</f>
      </c>
      <c r="B195">
        <f>IF(数据录入!$B195="","",数据录入!$B195)</f>
      </c>
      <c r="C195">
        <f>IF(数据录入!$B195="","",COUNT(数据录入!$D195:$AG195))</f>
      </c>
      <c r="D195">
        <f>IF(数据录入!$B195="","",SUM(数据录入!$D195:$AG195))</f>
      </c>
      <c r="E195" s="3">
        <f>IF(OR(数据录入!$B195="",数据录入!$B195=0),"",ROUND(D195/(数据录入!$B195*100)*100,2))</f>
      </c>
      <c r="F195">
        <f>IF(数据录入!$B195="","",IF(ROW()=2,0,SUM(数据录入!$B$2:数据录入!$B194)))</f>
      </c>
      <c r="G195">
        <f>IF(数据录入!$B195="","",F195+数据录入!$B195)</f>
      </c>
      <c r="H195">
        <f>IF(数据录入!$B195="","",C195+IF(数据录入!$C195="",0,数据录入!$C195))</f>
      </c>
      <c r="I195">
        <f>IF(数据录入!$B195="","",MAX(0,H195-1))</f>
      </c>
      <c r="J195" s="3">
        <f>IF(OR(数据录入!$B195="",H195=0),"",ROUND(数据录入!$B195*100/H195,2))</f>
      </c>
    </row>
    <row r="196" ht="18.00" customHeight="true">
      <c r="A196">
        <f>IF(数据录入!$B196="","",IF(数据录入!$A196=""," ",数据录入!$A196))</f>
      </c>
      <c r="B196">
        <f>IF(数据录入!$B196="","",数据录入!$B196)</f>
      </c>
      <c r="C196">
        <f>IF(数据录入!$B196="","",COUNT(数据录入!$D196:$AG196))</f>
      </c>
      <c r="D196">
        <f>IF(数据录入!$B196="","",SUM(数据录入!$D196:$AG196))</f>
      </c>
      <c r="E196" s="3">
        <f>IF(OR(数据录入!$B196="",数据录入!$B196=0),"",ROUND(D196/(数据录入!$B196*100)*100,2))</f>
      </c>
      <c r="F196">
        <f>IF(数据录入!$B196="","",IF(ROW()=2,0,SUM(数据录入!$B$2:数据录入!$B195)))</f>
      </c>
      <c r="G196">
        <f>IF(数据录入!$B196="","",F196+数据录入!$B196)</f>
      </c>
      <c r="H196">
        <f>IF(数据录入!$B196="","",C196+IF(数据录入!$C196="",0,数据录入!$C196))</f>
      </c>
      <c r="I196">
        <f>IF(数据录入!$B196="","",MAX(0,H196-1))</f>
      </c>
      <c r="J196" s="3">
        <f>IF(OR(数据录入!$B196="",H196=0),"",ROUND(数据录入!$B196*100/H196,2))</f>
      </c>
    </row>
    <row r="197" ht="18.00" customHeight="true">
      <c r="A197">
        <f>IF(数据录入!$B197="","",IF(数据录入!$A197=""," ",数据录入!$A197))</f>
      </c>
      <c r="B197">
        <f>IF(数据录入!$B197="","",数据录入!$B197)</f>
      </c>
      <c r="C197">
        <f>IF(数据录入!$B197="","",COUNT(数据录入!$D197:$AG197))</f>
      </c>
      <c r="D197">
        <f>IF(数据录入!$B197="","",SUM(数据录入!$D197:$AG197))</f>
      </c>
      <c r="E197" s="3">
        <f>IF(OR(数据录入!$B197="",数据录入!$B197=0),"",ROUND(D197/(数据录入!$B197*100)*100,2))</f>
      </c>
      <c r="F197">
        <f>IF(数据录入!$B197="","",IF(ROW()=2,0,SUM(数据录入!$B$2:数据录入!$B196)))</f>
      </c>
      <c r="G197">
        <f>IF(数据录入!$B197="","",F197+数据录入!$B197)</f>
      </c>
      <c r="H197">
        <f>IF(数据录入!$B197="","",C197+IF(数据录入!$C197="",0,数据录入!$C197))</f>
      </c>
      <c r="I197">
        <f>IF(数据录入!$B197="","",MAX(0,H197-1))</f>
      </c>
      <c r="J197" s="3">
        <f>IF(OR(数据录入!$B197="",H197=0),"",ROUND(数据录入!$B197*100/H197,2))</f>
      </c>
    </row>
    <row r="198" ht="18.00" customHeight="true">
      <c r="A198">
        <f>IF(数据录入!$B198="","",IF(数据录入!$A198=""," ",数据录入!$A198))</f>
      </c>
      <c r="B198">
        <f>IF(数据录入!$B198="","",数据录入!$B198)</f>
      </c>
      <c r="C198">
        <f>IF(数据录入!$B198="","",COUNT(数据录入!$D198:$AG198))</f>
      </c>
      <c r="D198">
        <f>IF(数据录入!$B198="","",SUM(数据录入!$D198:$AG198))</f>
      </c>
      <c r="E198" s="3">
        <f>IF(OR(数据录入!$B198="",数据录入!$B198=0),"",ROUND(D198/(数据录入!$B198*100)*100,2))</f>
      </c>
      <c r="F198">
        <f>IF(数据录入!$B198="","",IF(ROW()=2,0,SUM(数据录入!$B$2:数据录入!$B197)))</f>
      </c>
      <c r="G198">
        <f>IF(数据录入!$B198="","",F198+数据录入!$B198)</f>
      </c>
      <c r="H198">
        <f>IF(数据录入!$B198="","",C198+IF(数据录入!$C198="",0,数据录入!$C198))</f>
      </c>
      <c r="I198">
        <f>IF(数据录入!$B198="","",MAX(0,H198-1))</f>
      </c>
      <c r="J198" s="3">
        <f>IF(OR(数据录入!$B198="",H198=0),"",ROUND(数据录入!$B198*100/H198,2))</f>
      </c>
    </row>
    <row r="199" ht="18.00" customHeight="true">
      <c r="A199">
        <f>IF(数据录入!$B199="","",IF(数据录入!$A199=""," ",数据录入!$A199))</f>
      </c>
      <c r="B199">
        <f>IF(数据录入!$B199="","",数据录入!$B199)</f>
      </c>
      <c r="C199">
        <f>IF(数据录入!$B199="","",COUNT(数据录入!$D199:$AG199))</f>
      </c>
      <c r="D199">
        <f>IF(数据录入!$B199="","",SUM(数据录入!$D199:$AG199))</f>
      </c>
      <c r="E199" s="3">
        <f>IF(OR(数据录入!$B199="",数据录入!$B199=0),"",ROUND(D199/(数据录入!$B199*100)*100,2))</f>
      </c>
      <c r="F199">
        <f>IF(数据录入!$B199="","",IF(ROW()=2,0,SUM(数据录入!$B$2:数据录入!$B198)))</f>
      </c>
      <c r="G199">
        <f>IF(数据录入!$B199="","",F199+数据录入!$B199)</f>
      </c>
      <c r="H199">
        <f>IF(数据录入!$B199="","",C199+IF(数据录入!$C199="",0,数据录入!$C199))</f>
      </c>
      <c r="I199">
        <f>IF(数据录入!$B199="","",MAX(0,H199-1))</f>
      </c>
      <c r="J199" s="3">
        <f>IF(OR(数据录入!$B199="",H199=0),"",ROUND(数据录入!$B199*100/H199,2))</f>
      </c>
    </row>
    <row r="200" ht="18.00" customHeight="true">
      <c r="A200">
        <f>IF(数据录入!$B200="","",IF(数据录入!$A200=""," ",数据录入!$A200))</f>
      </c>
      <c r="B200">
        <f>IF(数据录入!$B200="","",数据录入!$B200)</f>
      </c>
      <c r="C200">
        <f>IF(数据录入!$B200="","",COUNT(数据录入!$D200:$AG200))</f>
      </c>
      <c r="D200">
        <f>IF(数据录入!$B200="","",SUM(数据录入!$D200:$AG200))</f>
      </c>
      <c r="E200" s="3">
        <f>IF(OR(数据录入!$B200="",数据录入!$B200=0),"",ROUND(D200/(数据录入!$B200*100)*100,2))</f>
      </c>
      <c r="F200">
        <f>IF(数据录入!$B200="","",IF(ROW()=2,0,SUM(数据录入!$B$2:数据录入!$B199)))</f>
      </c>
      <c r="G200">
        <f>IF(数据录入!$B200="","",F200+数据录入!$B200)</f>
      </c>
      <c r="H200">
        <f>IF(数据录入!$B200="","",C200+IF(数据录入!$C200="",0,数据录入!$C200))</f>
      </c>
      <c r="I200">
        <f>IF(数据录入!$B200="","",MAX(0,H200-1))</f>
      </c>
      <c r="J200" s="3">
        <f>IF(OR(数据录入!$B200="",H200=0),"",ROUND(数据录入!$B200*100/H200,2))</f>
      </c>
    </row>
  </sheetData>
  <phoneticPr fontId="0" type="noConversion"/>
  <dataValidations count="6">
    <dataValidation type="list" errorStyle="stop" showInputMessage="0" showErrorMessage="1" sqref="K2:K200">
      <formula1>"硬质岩,软质岩"</formula1>
    </dataValidation>
    <dataValidation type="list" errorStyle="stop" showInputMessage="0" showErrorMessage="1" sqref="L2:L200">
      <formula1>"整体状或巨厚层状结构,块状结构,次块状结构,厚层状或中厚层状结构,互层状结构,薄层状结构,镶嵌结构,块裂结构,碎块状或碎屑状结构,碎裂结构,块状或次块状结构,厚层、中厚层或互层状结构,薄层状或块裂结构,碎块状或碎屑状散体结构"</formula1>
    </dataValidation>
    <dataValidation type="list" errorStyle="stop" showInputMessage="0" showErrorMessage="1" sqref="M2:M200">
      <formula1>"坚硬岩,中硬岩,较软岩,软岩"</formula1>
    </dataValidation>
    <dataValidation type="list" errorStyle="stop" showInputMessage="0" showErrorMessage="1" sqref="N2:N200">
      <formula1>"均一无软弱夹层,有软弱夹层"</formula1>
    </dataValidation>
    <dataValidation type="list" errorStyle="stop" showInputMessage="0" showErrorMessage="1" sqref="O2:O200">
      <formula1>"干燥,潮湿,湿润"</formula1>
    </dataValidation>
    <dataValidation type="list" errorStyle="stop" showInputMessage="0" showErrorMessage="1" sqref="P2:P200">
      <formula1>"是,否,不设置"</formula1>
    </dataValidation>
  </dataValidations>
  <pageMargins left="0.75" right="0.75" top="0.75" bottom="0.75" header="0.25" footer="0.25"/>
  <pageSetup orientation="portrait" paperSize="9" scale="100"/>
  <headerFooter alignWithMargins="1"/>
</worksheet>
</file>

<file path=xl/worksheets/sheet3.xml><?xml version="1.0" encoding="utf-8"?>
<worksheet xmlns="http://schemas.openxmlformats.org/spreadsheetml/2006/main" xmlns:x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/>
  <dimension ref="A1:A32"/>
  <sheetViews>
    <sheetView showGridLines="1" tabSelected="0" workbookViewId="0">
      <selection activeCell="A1" sqref="A1"/>
    </sheetView>
  </sheetViews>
  <sheetFormatPr defaultRowHeight="18.00" customHeight="1" defaultColWidth="10.79"/>
  <cols>
    <col min="1" max="1" width="141.05" customWidth="1" hidden="0"/>
  </cols>
  <sheetData>
    <row r="1" ht="18.00" customHeight="true">
      <c r="A1" t="s" s="6">
        <v>55</v>
      </c>
    </row>
    <row r="2" ht="18.00" customHeight="true">
      <c r="A2" t="s">
        <v>54</v>
      </c>
    </row>
    <row r="3" ht="18.00" customHeight="true">
      <c r="A3" t="s" s="6">
        <v>56</v>
      </c>
    </row>
    <row r="4" ht="18.00" customHeight="true">
      <c r="A4" t="s">
        <v>57</v>
      </c>
    </row>
    <row r="5" ht="18.00" customHeight="true">
      <c r="A5" t="s">
        <v>58</v>
      </c>
    </row>
    <row r="6" ht="18.00" customHeight="true">
      <c r="A6" t="s">
        <v>59</v>
      </c>
    </row>
    <row r="7" ht="18.00" customHeight="true">
      <c r="A7" t="s">
        <v>60</v>
      </c>
    </row>
    <row r="8" ht="18.00" customHeight="true">
      <c r="A8" t="s">
        <v>61</v>
      </c>
    </row>
    <row r="9" ht="18.00" customHeight="true">
      <c r="A9" t="s" s="6">
        <v>62</v>
      </c>
    </row>
    <row r="10" ht="18.00" customHeight="true">
      <c r="A10" t="s" s="6">
        <v>54</v>
      </c>
    </row>
    <row r="11" ht="18.00" customHeight="true">
      <c r="A11" t="s" s="6">
        <v>63</v>
      </c>
    </row>
    <row r="12" ht="18.00" customHeight="true">
      <c r="A12" t="s">
        <v>64</v>
      </c>
    </row>
    <row r="13" ht="18.00" customHeight="true">
      <c r="A13" t="s" s="6">
        <v>65</v>
      </c>
    </row>
    <row r="14" ht="18.00" customHeight="true">
      <c r="A14" t="s">
        <v>66</v>
      </c>
    </row>
    <row r="15" ht="18.00" customHeight="true">
      <c r="A15" t="s" s="6">
        <v>67</v>
      </c>
    </row>
    <row r="16" ht="18.00" customHeight="true">
      <c r="A16" t="s" s="6">
        <v>54</v>
      </c>
    </row>
    <row r="17" ht="18.00" customHeight="true">
      <c r="A17" t="s" s="6">
        <v>68</v>
      </c>
    </row>
    <row r="18" ht="18.00" customHeight="true">
      <c r="A18" t="s">
        <v>69</v>
      </c>
    </row>
    <row r="19" ht="18.00" customHeight="true">
      <c r="A19" t="s" s="6">
        <v>70</v>
      </c>
    </row>
    <row r="20" ht="18.00" customHeight="true">
      <c r="A20" t="s" s="6">
        <v>54</v>
      </c>
    </row>
    <row r="21" ht="18.00" customHeight="true">
      <c r="A21" t="s" s="6">
        <v>71</v>
      </c>
    </row>
    <row r="22" ht="18.00" customHeight="true">
      <c r="A22" t="s">
        <v>72</v>
      </c>
    </row>
    <row r="23" ht="18.00" customHeight="true">
      <c r="A23" t="s" s="6">
        <v>54</v>
      </c>
    </row>
    <row r="24" ht="18.00" customHeight="true">
      <c r="A24" t="s" s="6">
        <v>73</v>
      </c>
    </row>
    <row r="25" ht="18.00" customHeight="true">
      <c r="A25" t="s">
        <v>74</v>
      </c>
    </row>
    <row r="27" ht="18.00" customHeight="true">
      <c r="A27" s="6"/>
    </row>
    <row r="28" ht="18.00" customHeight="true">
      <c r="A28" s="6"/>
    </row>
    <row r="30" ht="18.00" customHeight="true">
      <c r="A30" s="6"/>
    </row>
    <row r="32" ht="18.00" customHeight="true">
      <c r="A32" s="6"/>
    </row>
  </sheetData>
  <phoneticPr fontId="0" type="noConversion"/>
  <pageMargins left="0.75" right="0.75" top="0.75" bottom="0.75" header="0.25" footer="0.25"/>
  <pageSetup orientation="portrait" paperSize="9" scale="100"/>
  <headerFooter alignWithMargin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Workbook</vt:lpstr>
      </vt:variant>
      <vt:variant>
        <vt:i4>3</vt:i4>
      </vt:variant>
    </vt:vector>
  </HeadingPairs>
  <TitlesOfParts>
    <vt:vector size="3" baseType="lpstr">
      <vt:lpstr>数据录入</vt:lpstr>
      <vt:lpstr>计算成果</vt:lpstr>
      <vt:lpstr>填写说明</vt:lpstr>
    </vt:vector>
  </TitlesOfParts>
  <Company>Univer.ai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Univer.ai</dc:creator>
  <cp:lastModifiedBy>Univer.ai</cp:lastModifiedBy>
  <dcterms:created xsi:type="dcterms:W3CDTF">1970-01-01T00:00:00Z</dcterms:created>
  <dcterms:modified xsi:type="dcterms:W3CDTF">1970-01-01T00:00:00Z</dcterms:modified>
</cp:coreProperties>
</file>